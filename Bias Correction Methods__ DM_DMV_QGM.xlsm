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yra_\Documents\ΔΙΠΛΩΜΑΤΙΚΕΣ\"/>
    </mc:Choice>
  </mc:AlternateContent>
  <xr:revisionPtr revIDLastSave="0" documentId="13_ncr:1_{6A3FE9A5-CCFE-4F60-8F43-0E495512B2BA}" xr6:coauthVersionLast="47" xr6:coauthVersionMax="47" xr10:uidLastSave="{00000000-0000-0000-0000-000000000000}"/>
  <bookViews>
    <workbookView xWindow="0" yWindow="0" windowWidth="23040" windowHeight="12240" xr2:uid="{E7549A28-5B6E-42E2-A48A-708C7AA92A93}"/>
  </bookViews>
  <sheets>
    <sheet name="Sheet1" sheetId="1" r:id="rId1"/>
  </sheets>
  <definedNames>
    <definedName name="_xlchart.v1.0" hidden="1">Sheet1!$B$1</definedName>
    <definedName name="_xlchart.v1.1" hidden="1">Sheet1!$B$2:$B$361</definedName>
    <definedName name="_xlchart.v1.2" hidden="1">Sheet1!$R$1</definedName>
    <definedName name="_xlchart.v1.3" hidden="1">Sheet1!$R$2:$R$361</definedName>
    <definedName name="_xlchart.v1.4" hidden="1">Sheet1!$S$1</definedName>
    <definedName name="_xlchart.v1.5" hidden="1">Sheet1!$S$2:$S$361</definedName>
    <definedName name="_xlchart.v1.6" hidden="1">Sheet1!$U$1</definedName>
    <definedName name="_xlchart.v1.7" hidden="1">Sheet1!$U$2:$U$361</definedName>
    <definedName name="solver_adj" localSheetId="0" hidden="1">Sheet1!$W$20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Sheet1!$W$22</definedName>
    <definedName name="solver_pre" localSheetId="0" hidden="1">0.000001</definedName>
    <definedName name="solver_rbv" localSheetId="0" hidden="1">2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1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16" i="1" l="1" a="1"/>
  <c r="X16" i="1" s="1"/>
  <c r="O3" i="1"/>
  <c r="O4" i="1"/>
  <c r="O5" i="1"/>
  <c r="O6" i="1"/>
  <c r="O7" i="1"/>
  <c r="O8" i="1"/>
  <c r="O9" i="1"/>
  <c r="O10" i="1"/>
  <c r="O11" i="1"/>
  <c r="O12" i="1"/>
  <c r="O13" i="1"/>
  <c r="O2" i="1"/>
  <c r="N3" i="1" a="1"/>
  <c r="N3" i="1" s="1"/>
  <c r="N4" i="1" a="1"/>
  <c r="N4" i="1" s="1"/>
  <c r="N5" i="1" a="1"/>
  <c r="N5" i="1"/>
  <c r="N6" i="1" a="1"/>
  <c r="N6" i="1" s="1"/>
  <c r="N7" i="1" a="1"/>
  <c r="N7" i="1" s="1"/>
  <c r="N8" i="1" a="1"/>
  <c r="N8" i="1" s="1"/>
  <c r="N9" i="1" a="1"/>
  <c r="N9" i="1" s="1"/>
  <c r="N10" i="1" a="1"/>
  <c r="N10" i="1" s="1"/>
  <c r="N11" i="1" a="1"/>
  <c r="N11" i="1" s="1"/>
  <c r="N12" i="1" a="1"/>
  <c r="N12" i="1" s="1"/>
  <c r="N13" i="1" a="1"/>
  <c r="N13" i="1" s="1"/>
  <c r="M3" i="1" a="1"/>
  <c r="M3" i="1" s="1"/>
  <c r="M4" i="1" a="1"/>
  <c r="M4" i="1" s="1"/>
  <c r="M5" i="1" a="1"/>
  <c r="M5" i="1" s="1"/>
  <c r="M6" i="1" a="1"/>
  <c r="M6" i="1" s="1"/>
  <c r="M7" i="1" a="1"/>
  <c r="M7" i="1" s="1"/>
  <c r="M8" i="1" a="1"/>
  <c r="M8" i="1" s="1"/>
  <c r="M9" i="1" a="1"/>
  <c r="M9" i="1" s="1"/>
  <c r="M10" i="1" a="1"/>
  <c r="M10" i="1" s="1"/>
  <c r="M11" i="1" a="1"/>
  <c r="M11" i="1" s="1"/>
  <c r="M12" i="1" a="1"/>
  <c r="M12" i="1" s="1"/>
  <c r="M13" i="1" a="1"/>
  <c r="M13" i="1" s="1"/>
  <c r="M2" i="1" a="1"/>
  <c r="M2" i="1" s="1"/>
  <c r="N2" i="1" a="1"/>
  <c r="N2" i="1" s="1"/>
  <c r="L3" i="1"/>
  <c r="L4" i="1"/>
  <c r="L5" i="1"/>
  <c r="L6" i="1"/>
  <c r="L7" i="1"/>
  <c r="L8" i="1"/>
  <c r="L9" i="1"/>
  <c r="L10" i="1"/>
  <c r="L11" i="1"/>
  <c r="L12" i="1"/>
  <c r="L13" i="1"/>
  <c r="L2" i="1"/>
  <c r="K3" i="1"/>
  <c r="K4" i="1"/>
  <c r="K5" i="1"/>
  <c r="K6" i="1"/>
  <c r="K7" i="1"/>
  <c r="K8" i="1"/>
  <c r="K9" i="1"/>
  <c r="K10" i="1"/>
  <c r="K11" i="1"/>
  <c r="K12" i="1"/>
  <c r="K13" i="1"/>
  <c r="K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2" i="1"/>
  <c r="W21" i="1"/>
  <c r="W22" i="1"/>
  <c r="W17" i="1"/>
  <c r="B1552" i="1"/>
  <c r="B1549" i="1"/>
  <c r="B1547" i="1"/>
  <c r="B1538" i="1"/>
  <c r="B1537" i="1"/>
  <c r="B1536" i="1"/>
  <c r="B1535" i="1"/>
  <c r="B1534" i="1"/>
  <c r="B1533" i="1"/>
  <c r="B1532" i="1"/>
  <c r="B1531" i="1"/>
  <c r="B1523" i="1"/>
  <c r="B1522" i="1"/>
  <c r="B1521" i="1"/>
  <c r="B1520" i="1"/>
  <c r="B1507" i="1"/>
  <c r="B1506" i="1"/>
  <c r="B1505" i="1"/>
  <c r="B1504" i="1"/>
  <c r="B1503" i="1"/>
  <c r="B1491" i="1"/>
  <c r="B1490" i="1"/>
  <c r="B1489" i="1"/>
  <c r="B1488" i="1"/>
  <c r="B1486" i="1"/>
  <c r="B1485" i="1"/>
  <c r="B1484" i="1"/>
  <c r="B1483" i="1"/>
  <c r="B1475" i="1"/>
  <c r="B1474" i="1"/>
  <c r="B1473" i="1"/>
  <c r="B1472" i="1"/>
  <c r="B1459" i="1"/>
  <c r="B1458" i="1"/>
  <c r="B1457" i="1"/>
  <c r="B1456" i="1"/>
  <c r="B1455" i="1"/>
  <c r="B1454" i="1"/>
  <c r="B1453" i="1"/>
  <c r="B1443" i="1"/>
  <c r="B1442" i="1"/>
  <c r="B1441" i="1"/>
  <c r="B1440" i="1"/>
  <c r="B1439" i="1"/>
  <c r="B1438" i="1"/>
  <c r="B1437" i="1"/>
  <c r="B1436" i="1"/>
  <c r="B1435" i="1"/>
  <c r="B1434" i="1"/>
  <c r="B1427" i="1"/>
  <c r="B1426" i="1"/>
  <c r="B1425" i="1"/>
  <c r="B1424" i="1"/>
  <c r="B1422" i="1"/>
  <c r="B1411" i="1"/>
  <c r="B1410" i="1"/>
  <c r="B1409" i="1"/>
  <c r="B1408" i="1"/>
  <c r="B1407" i="1"/>
  <c r="B1406" i="1"/>
  <c r="B1405" i="1"/>
  <c r="B1404" i="1"/>
  <c r="B1403" i="1"/>
  <c r="B1395" i="1"/>
  <c r="B1394" i="1"/>
  <c r="B1393" i="1"/>
  <c r="B1392" i="1"/>
  <c r="B1379" i="1"/>
  <c r="B1378" i="1"/>
  <c r="B1377" i="1"/>
  <c r="B1376" i="1"/>
  <c r="B1375" i="1"/>
  <c r="B1363" i="1"/>
  <c r="B1362" i="1"/>
  <c r="B1361" i="1"/>
  <c r="B1360" i="1"/>
  <c r="B1359" i="1"/>
  <c r="B1358" i="1"/>
  <c r="B1357" i="1"/>
  <c r="B1356" i="1"/>
  <c r="B1355" i="1"/>
  <c r="B1354" i="1"/>
  <c r="B1347" i="1"/>
  <c r="B1346" i="1"/>
  <c r="B1345" i="1"/>
  <c r="B1344" i="1"/>
  <c r="B1343" i="1"/>
  <c r="B1331" i="1"/>
  <c r="B1330" i="1"/>
  <c r="B1329" i="1"/>
  <c r="B1328" i="1"/>
  <c r="B1327" i="1"/>
  <c r="B1326" i="1"/>
  <c r="B1325" i="1"/>
  <c r="B1315" i="1"/>
  <c r="B1314" i="1"/>
  <c r="B1313" i="1"/>
  <c r="B1312" i="1"/>
  <c r="B1309" i="1"/>
  <c r="B1308" i="1"/>
  <c r="B1307" i="1"/>
  <c r="B1306" i="1"/>
  <c r="B1299" i="1"/>
  <c r="B1298" i="1"/>
  <c r="B1297" i="1"/>
  <c r="B1296" i="1"/>
  <c r="B1283" i="1"/>
  <c r="B1282" i="1"/>
  <c r="B1281" i="1"/>
  <c r="B1280" i="1"/>
  <c r="B1279" i="1"/>
  <c r="B1278" i="1"/>
  <c r="B1277" i="1"/>
  <c r="B1276" i="1"/>
  <c r="B1275" i="1"/>
  <c r="B1267" i="1"/>
  <c r="B1266" i="1"/>
  <c r="B1265" i="1"/>
  <c r="B1264" i="1"/>
  <c r="B1251" i="1"/>
  <c r="B1250" i="1"/>
  <c r="B1249" i="1"/>
  <c r="B1248" i="1"/>
  <c r="B1247" i="1"/>
  <c r="B1235" i="1"/>
  <c r="B1234" i="1"/>
  <c r="B1233" i="1"/>
  <c r="B1232" i="1"/>
  <c r="B1230" i="1"/>
  <c r="B1229" i="1"/>
  <c r="B1228" i="1"/>
  <c r="B1227" i="1"/>
  <c r="B1219" i="1"/>
  <c r="B1218" i="1"/>
  <c r="B1217" i="1"/>
  <c r="B1216" i="1"/>
  <c r="B1203" i="1"/>
  <c r="B1202" i="1"/>
  <c r="B1201" i="1"/>
  <c r="B1200" i="1"/>
  <c r="B1199" i="1"/>
  <c r="B1198" i="1"/>
  <c r="B1197" i="1"/>
  <c r="B1187" i="1"/>
  <c r="B1186" i="1"/>
  <c r="B1185" i="1"/>
  <c r="B1184" i="1"/>
  <c r="B1183" i="1"/>
  <c r="B1182" i="1"/>
  <c r="B1181" i="1"/>
  <c r="B1180" i="1"/>
  <c r="B1561" i="1" s="1"/>
  <c r="B1179" i="1"/>
  <c r="B1560" i="1" s="1"/>
  <c r="B1178" i="1"/>
  <c r="B1559" i="1" s="1"/>
  <c r="B1171" i="1"/>
  <c r="B1170" i="1"/>
  <c r="B1551" i="1" s="1"/>
  <c r="B1169" i="1"/>
  <c r="B1550" i="1" s="1"/>
  <c r="B1168" i="1"/>
  <c r="B1166" i="1"/>
  <c r="B1155" i="1"/>
  <c r="B1154" i="1"/>
  <c r="B1153" i="1"/>
  <c r="B1152" i="1"/>
  <c r="B1151" i="1"/>
  <c r="B1150" i="1"/>
  <c r="B1149" i="1"/>
  <c r="B1530" i="1" s="1"/>
  <c r="B1148" i="1"/>
  <c r="B1529" i="1" s="1"/>
  <c r="B1147" i="1"/>
  <c r="B1528" i="1" s="1"/>
  <c r="B1142" i="1"/>
  <c r="B1141" i="1"/>
  <c r="B1140" i="1"/>
  <c r="B1139" i="1"/>
  <c r="B1138" i="1"/>
  <c r="B1519" i="1" s="1"/>
  <c r="B1137" i="1"/>
  <c r="B1518" i="1" s="1"/>
  <c r="B1136" i="1"/>
  <c r="B1517" i="1" s="1"/>
  <c r="B1135" i="1"/>
  <c r="B1516" i="1" s="1"/>
  <c r="B1134" i="1"/>
  <c r="B1515" i="1" s="1"/>
  <c r="B1133" i="1"/>
  <c r="B1514" i="1" s="1"/>
  <c r="B1132" i="1"/>
  <c r="B1513" i="1" s="1"/>
  <c r="B1131" i="1"/>
  <c r="B1512" i="1" s="1"/>
  <c r="B1130" i="1"/>
  <c r="B1511" i="1" s="1"/>
  <c r="B1126" i="1"/>
  <c r="B1125" i="1"/>
  <c r="B1124" i="1"/>
  <c r="B1123" i="1"/>
  <c r="B1122" i="1"/>
  <c r="B1121" i="1"/>
  <c r="B1502" i="1" s="1"/>
  <c r="B1120" i="1"/>
  <c r="B1501" i="1" s="1"/>
  <c r="B1119" i="1"/>
  <c r="B1500" i="1" s="1"/>
  <c r="B1118" i="1"/>
  <c r="B1499" i="1" s="1"/>
  <c r="B1117" i="1"/>
  <c r="B1498" i="1" s="1"/>
  <c r="B1116" i="1"/>
  <c r="B1497" i="1" s="1"/>
  <c r="B1115" i="1"/>
  <c r="B1496" i="1" s="1"/>
  <c r="B1114" i="1"/>
  <c r="B1495" i="1" s="1"/>
  <c r="B1110" i="1"/>
  <c r="B1109" i="1"/>
  <c r="B1108" i="1"/>
  <c r="B1107" i="1"/>
  <c r="B1106" i="1"/>
  <c r="B1487" i="1" s="1"/>
  <c r="B1105" i="1"/>
  <c r="B1104" i="1"/>
  <c r="B1103" i="1"/>
  <c r="B1102" i="1"/>
  <c r="B1099" i="1"/>
  <c r="B1480" i="1" s="1"/>
  <c r="B1098" i="1"/>
  <c r="B1479" i="1" s="1"/>
  <c r="B1094" i="1"/>
  <c r="B1093" i="1"/>
  <c r="B1092" i="1"/>
  <c r="B1091" i="1"/>
  <c r="B1090" i="1"/>
  <c r="B1471" i="1" s="1"/>
  <c r="B1089" i="1"/>
  <c r="B1470" i="1" s="1"/>
  <c r="B1088" i="1"/>
  <c r="B1469" i="1" s="1"/>
  <c r="B1087" i="1"/>
  <c r="B1468" i="1" s="1"/>
  <c r="B1083" i="1"/>
  <c r="B1464" i="1" s="1"/>
  <c r="B1078" i="1"/>
  <c r="B1077" i="1"/>
  <c r="B1076" i="1"/>
  <c r="B1075" i="1"/>
  <c r="B1074" i="1"/>
  <c r="B1073" i="1"/>
  <c r="B1072" i="1"/>
  <c r="B1071" i="1"/>
  <c r="B1452" i="1" s="1"/>
  <c r="B1070" i="1"/>
  <c r="B1451" i="1" s="1"/>
  <c r="B1069" i="1"/>
  <c r="B1450" i="1" s="1"/>
  <c r="B1068" i="1"/>
  <c r="B1449" i="1" s="1"/>
  <c r="B1062" i="1"/>
  <c r="B1061" i="1"/>
  <c r="B1060" i="1"/>
  <c r="B1059" i="1"/>
  <c r="B1058" i="1"/>
  <c r="B1057" i="1"/>
  <c r="B1056" i="1"/>
  <c r="B1055" i="1"/>
  <c r="B1054" i="1"/>
  <c r="B1053" i="1"/>
  <c r="B1052" i="1"/>
  <c r="B1433" i="1" s="1"/>
  <c r="B1051" i="1"/>
  <c r="B1432" i="1" s="1"/>
  <c r="B1050" i="1"/>
  <c r="B1431" i="1" s="1"/>
  <c r="B1046" i="1"/>
  <c r="B1045" i="1"/>
  <c r="B1044" i="1"/>
  <c r="B1043" i="1"/>
  <c r="B1042" i="1"/>
  <c r="B1423" i="1" s="1"/>
  <c r="B1041" i="1"/>
  <c r="B1040" i="1"/>
  <c r="B1421" i="1" s="1"/>
  <c r="B1039" i="1"/>
  <c r="B1420" i="1" s="1"/>
  <c r="B1038" i="1"/>
  <c r="B1419" i="1" s="1"/>
  <c r="B1037" i="1"/>
  <c r="B1418" i="1" s="1"/>
  <c r="B1036" i="1"/>
  <c r="B1417" i="1" s="1"/>
  <c r="B1035" i="1"/>
  <c r="B1416" i="1" s="1"/>
  <c r="B1034" i="1"/>
  <c r="B1415" i="1" s="1"/>
  <c r="B1030" i="1"/>
  <c r="B1029" i="1"/>
  <c r="B1028" i="1"/>
  <c r="B1027" i="1"/>
  <c r="B1026" i="1"/>
  <c r="B1025" i="1"/>
  <c r="B1024" i="1"/>
  <c r="B1023" i="1"/>
  <c r="B1022" i="1"/>
  <c r="B1021" i="1"/>
  <c r="B1402" i="1" s="1"/>
  <c r="B1020" i="1"/>
  <c r="B1401" i="1" s="1"/>
  <c r="B1019" i="1"/>
  <c r="B1400" i="1" s="1"/>
  <c r="B1018" i="1"/>
  <c r="B1399" i="1" s="1"/>
  <c r="B1014" i="1"/>
  <c r="B1013" i="1"/>
  <c r="B1012" i="1"/>
  <c r="B1011" i="1"/>
  <c r="B1010" i="1"/>
  <c r="B1391" i="1" s="1"/>
  <c r="B1009" i="1"/>
  <c r="B1390" i="1" s="1"/>
  <c r="B1008" i="1"/>
  <c r="B1389" i="1" s="1"/>
  <c r="B998" i="1"/>
  <c r="B997" i="1"/>
  <c r="B996" i="1"/>
  <c r="B995" i="1"/>
  <c r="B994" i="1"/>
  <c r="B993" i="1"/>
  <c r="B1374" i="1" s="1"/>
  <c r="B992" i="1"/>
  <c r="B1373" i="1" s="1"/>
  <c r="B991" i="1"/>
  <c r="B1372" i="1" s="1"/>
  <c r="B990" i="1"/>
  <c r="B1371" i="1" s="1"/>
  <c r="B989" i="1"/>
  <c r="B1370" i="1" s="1"/>
  <c r="B982" i="1"/>
  <c r="B981" i="1"/>
  <c r="B980" i="1"/>
  <c r="B979" i="1"/>
  <c r="B978" i="1"/>
  <c r="B977" i="1"/>
  <c r="B976" i="1"/>
  <c r="B975" i="1"/>
  <c r="B974" i="1"/>
  <c r="B973" i="1"/>
  <c r="B972" i="1"/>
  <c r="B1353" i="1" s="1"/>
  <c r="B971" i="1"/>
  <c r="B1352" i="1" s="1"/>
  <c r="B970" i="1"/>
  <c r="B1351" i="1" s="1"/>
  <c r="B966" i="1"/>
  <c r="B965" i="1"/>
  <c r="B964" i="1"/>
  <c r="B963" i="1"/>
  <c r="B962" i="1"/>
  <c r="B961" i="1"/>
  <c r="B1342" i="1" s="1"/>
  <c r="B960" i="1"/>
  <c r="B1341" i="1" s="1"/>
  <c r="B959" i="1"/>
  <c r="B1340" i="1" s="1"/>
  <c r="B958" i="1"/>
  <c r="B1339" i="1" s="1"/>
  <c r="B957" i="1"/>
  <c r="B1338" i="1" s="1"/>
  <c r="B956" i="1"/>
  <c r="B1337" i="1" s="1"/>
  <c r="B955" i="1"/>
  <c r="B1336" i="1" s="1"/>
  <c r="B954" i="1"/>
  <c r="B1335" i="1" s="1"/>
  <c r="B950" i="1"/>
  <c r="B949" i="1"/>
  <c r="B948" i="1"/>
  <c r="B947" i="1"/>
  <c r="B946" i="1"/>
  <c r="B945" i="1"/>
  <c r="B944" i="1"/>
  <c r="B943" i="1"/>
  <c r="B1324" i="1" s="1"/>
  <c r="B942" i="1"/>
  <c r="B1323" i="1" s="1"/>
  <c r="B941" i="1"/>
  <c r="B1322" i="1" s="1"/>
  <c r="B940" i="1"/>
  <c r="B1321" i="1" s="1"/>
  <c r="B939" i="1"/>
  <c r="B1320" i="1" s="1"/>
  <c r="B938" i="1"/>
  <c r="B1319" i="1" s="1"/>
  <c r="B934" i="1"/>
  <c r="B933" i="1"/>
  <c r="B932" i="1"/>
  <c r="B931" i="1"/>
  <c r="B930" i="1"/>
  <c r="B1311" i="1" s="1"/>
  <c r="B929" i="1"/>
  <c r="B1310" i="1" s="1"/>
  <c r="B928" i="1"/>
  <c r="B927" i="1"/>
  <c r="B926" i="1"/>
  <c r="B925" i="1"/>
  <c r="B923" i="1"/>
  <c r="B1304" i="1" s="1"/>
  <c r="B922" i="1"/>
  <c r="B1303" i="1" s="1"/>
  <c r="B918" i="1"/>
  <c r="B917" i="1"/>
  <c r="B916" i="1"/>
  <c r="B915" i="1"/>
  <c r="B914" i="1"/>
  <c r="B1295" i="1" s="1"/>
  <c r="B913" i="1"/>
  <c r="B1294" i="1" s="1"/>
  <c r="B912" i="1"/>
  <c r="B1293" i="1" s="1"/>
  <c r="B911" i="1"/>
  <c r="B1292" i="1" s="1"/>
  <c r="B910" i="1"/>
  <c r="B1291" i="1" s="1"/>
  <c r="B907" i="1"/>
  <c r="B1288" i="1" s="1"/>
  <c r="B902" i="1"/>
  <c r="B901" i="1"/>
  <c r="B900" i="1"/>
  <c r="B899" i="1"/>
  <c r="B898" i="1"/>
  <c r="B897" i="1"/>
  <c r="B896" i="1"/>
  <c r="B895" i="1"/>
  <c r="B894" i="1"/>
  <c r="B893" i="1"/>
  <c r="B1274" i="1" s="1"/>
  <c r="B892" i="1"/>
  <c r="B1273" i="1" s="1"/>
  <c r="B891" i="1"/>
  <c r="B1272" i="1" s="1"/>
  <c r="B886" i="1"/>
  <c r="B885" i="1"/>
  <c r="B884" i="1"/>
  <c r="B883" i="1"/>
  <c r="B882" i="1"/>
  <c r="B1263" i="1" s="1"/>
  <c r="B881" i="1"/>
  <c r="B1262" i="1" s="1"/>
  <c r="B880" i="1"/>
  <c r="B1261" i="1" s="1"/>
  <c r="B879" i="1"/>
  <c r="B1260" i="1" s="1"/>
  <c r="B878" i="1"/>
  <c r="B1259" i="1" s="1"/>
  <c r="B877" i="1"/>
  <c r="B1258" i="1" s="1"/>
  <c r="B876" i="1"/>
  <c r="B1257" i="1" s="1"/>
  <c r="B875" i="1"/>
  <c r="B1256" i="1" s="1"/>
  <c r="B874" i="1"/>
  <c r="B1255" i="1" s="1"/>
  <c r="B870" i="1"/>
  <c r="B869" i="1"/>
  <c r="B868" i="1"/>
  <c r="B867" i="1"/>
  <c r="B866" i="1"/>
  <c r="B865" i="1"/>
  <c r="B1246" i="1" s="1"/>
  <c r="B864" i="1"/>
  <c r="B1245" i="1" s="1"/>
  <c r="B863" i="1"/>
  <c r="B1244" i="1" s="1"/>
  <c r="B862" i="1"/>
  <c r="B1243" i="1" s="1"/>
  <c r="B861" i="1"/>
  <c r="B1242" i="1" s="1"/>
  <c r="B860" i="1"/>
  <c r="B1241" i="1" s="1"/>
  <c r="B859" i="1"/>
  <c r="B1240" i="1" s="1"/>
  <c r="B858" i="1"/>
  <c r="B1239" i="1" s="1"/>
  <c r="B854" i="1"/>
  <c r="B853" i="1"/>
  <c r="B852" i="1"/>
  <c r="B851" i="1"/>
  <c r="B850" i="1"/>
  <c r="B1231" i="1" s="1"/>
  <c r="B849" i="1"/>
  <c r="B848" i="1"/>
  <c r="B847" i="1"/>
  <c r="B846" i="1"/>
  <c r="B843" i="1"/>
  <c r="B1224" i="1" s="1"/>
  <c r="B842" i="1"/>
  <c r="B1223" i="1" s="1"/>
  <c r="B838" i="1"/>
  <c r="B837" i="1"/>
  <c r="B836" i="1"/>
  <c r="B835" i="1"/>
  <c r="B834" i="1"/>
  <c r="B1215" i="1" s="1"/>
  <c r="B833" i="1"/>
  <c r="B1214" i="1" s="1"/>
  <c r="B832" i="1"/>
  <c r="B1213" i="1" s="1"/>
  <c r="B831" i="1"/>
  <c r="B1212" i="1" s="1"/>
  <c r="B827" i="1"/>
  <c r="B1208" i="1" s="1"/>
  <c r="B822" i="1"/>
  <c r="B821" i="1"/>
  <c r="B820" i="1"/>
  <c r="B819" i="1"/>
  <c r="B818" i="1"/>
  <c r="B817" i="1"/>
  <c r="B816" i="1"/>
  <c r="B815" i="1"/>
  <c r="B1196" i="1" s="1"/>
  <c r="B814" i="1"/>
  <c r="B1195" i="1" s="1"/>
  <c r="B813" i="1"/>
  <c r="B1194" i="1" s="1"/>
  <c r="B812" i="1"/>
  <c r="B1193" i="1" s="1"/>
  <c r="B806" i="1"/>
  <c r="B805" i="1"/>
  <c r="B804" i="1"/>
  <c r="B803" i="1"/>
  <c r="B802" i="1"/>
  <c r="B801" i="1"/>
  <c r="B800" i="1"/>
  <c r="B799" i="1"/>
  <c r="B798" i="1"/>
  <c r="B797" i="1"/>
  <c r="B796" i="1"/>
  <c r="B1177" i="1" s="1"/>
  <c r="B1558" i="1" s="1"/>
  <c r="B795" i="1"/>
  <c r="B1176" i="1" s="1"/>
  <c r="B1557" i="1" s="1"/>
  <c r="B794" i="1"/>
  <c r="B1175" i="1" s="1"/>
  <c r="B1556" i="1" s="1"/>
  <c r="B790" i="1"/>
  <c r="B789" i="1"/>
  <c r="B788" i="1"/>
  <c r="B787" i="1"/>
  <c r="B786" i="1"/>
  <c r="B1167" i="1" s="1"/>
  <c r="B1548" i="1" s="1"/>
  <c r="B785" i="1"/>
  <c r="B784" i="1"/>
  <c r="B1165" i="1" s="1"/>
  <c r="B1546" i="1" s="1"/>
  <c r="B783" i="1"/>
  <c r="B1164" i="1" s="1"/>
  <c r="B1545" i="1" s="1"/>
  <c r="B782" i="1"/>
  <c r="B1163" i="1" s="1"/>
  <c r="B1544" i="1" s="1"/>
  <c r="B781" i="1"/>
  <c r="B1162" i="1" s="1"/>
  <c r="B1543" i="1" s="1"/>
  <c r="B780" i="1"/>
  <c r="B1161" i="1" s="1"/>
  <c r="B1542" i="1" s="1"/>
  <c r="B779" i="1"/>
  <c r="B1160" i="1" s="1"/>
  <c r="B1541" i="1" s="1"/>
  <c r="B778" i="1"/>
  <c r="B1159" i="1" s="1"/>
  <c r="B1540" i="1" s="1"/>
  <c r="B774" i="1"/>
  <c r="B773" i="1"/>
  <c r="B772" i="1"/>
  <c r="B771" i="1"/>
  <c r="B770" i="1"/>
  <c r="B769" i="1"/>
  <c r="B768" i="1"/>
  <c r="B767" i="1"/>
  <c r="B766" i="1"/>
  <c r="B765" i="1"/>
  <c r="B1146" i="1" s="1"/>
  <c r="B1527" i="1" s="1"/>
  <c r="B764" i="1"/>
  <c r="B1145" i="1" s="1"/>
  <c r="B1526" i="1" s="1"/>
  <c r="B763" i="1"/>
  <c r="B1144" i="1" s="1"/>
  <c r="B1525" i="1" s="1"/>
  <c r="B762" i="1"/>
  <c r="B1143" i="1" s="1"/>
  <c r="B1524" i="1" s="1"/>
  <c r="B761" i="1"/>
  <c r="B760" i="1"/>
  <c r="B759" i="1"/>
  <c r="B758" i="1"/>
  <c r="B757" i="1"/>
  <c r="B756" i="1"/>
  <c r="B755" i="1"/>
  <c r="B754" i="1"/>
  <c r="B753" i="1"/>
  <c r="B752" i="1"/>
  <c r="B751" i="1"/>
  <c r="B750" i="1"/>
  <c r="B749" i="1"/>
  <c r="B748" i="1"/>
  <c r="B1129" i="1" s="1"/>
  <c r="B1510" i="1" s="1"/>
  <c r="B747" i="1"/>
  <c r="B1128" i="1" s="1"/>
  <c r="B1509" i="1" s="1"/>
  <c r="B746" i="1"/>
  <c r="B1127" i="1" s="1"/>
  <c r="B1508" i="1" s="1"/>
  <c r="B745" i="1"/>
  <c r="B744" i="1"/>
  <c r="B743" i="1"/>
  <c r="B742" i="1"/>
  <c r="B741" i="1"/>
  <c r="B740" i="1"/>
  <c r="B739" i="1"/>
  <c r="B738" i="1"/>
  <c r="B737" i="1"/>
  <c r="B736" i="1"/>
  <c r="B735" i="1"/>
  <c r="B734" i="1"/>
  <c r="B733" i="1"/>
  <c r="B732" i="1"/>
  <c r="B1113" i="1" s="1"/>
  <c r="B1494" i="1" s="1"/>
  <c r="B731" i="1"/>
  <c r="B1112" i="1" s="1"/>
  <c r="B1493" i="1" s="1"/>
  <c r="B730" i="1"/>
  <c r="B1111" i="1" s="1"/>
  <c r="B1492" i="1" s="1"/>
  <c r="B729" i="1"/>
  <c r="B728" i="1"/>
  <c r="B727" i="1"/>
  <c r="B726" i="1"/>
  <c r="B725" i="1"/>
  <c r="B724" i="1"/>
  <c r="B723" i="1"/>
  <c r="B722" i="1"/>
  <c r="B721" i="1"/>
  <c r="B720" i="1"/>
  <c r="B1101" i="1" s="1"/>
  <c r="B1482" i="1" s="1"/>
  <c r="B719" i="1"/>
  <c r="B1100" i="1" s="1"/>
  <c r="B1481" i="1" s="1"/>
  <c r="B718" i="1"/>
  <c r="B717" i="1"/>
  <c r="B716" i="1"/>
  <c r="B1097" i="1" s="1"/>
  <c r="B1478" i="1" s="1"/>
  <c r="B715" i="1"/>
  <c r="B1096" i="1" s="1"/>
  <c r="B1477" i="1" s="1"/>
  <c r="B714" i="1"/>
  <c r="B1095" i="1" s="1"/>
  <c r="B1476" i="1" s="1"/>
  <c r="B713" i="1"/>
  <c r="B712" i="1"/>
  <c r="B711" i="1"/>
  <c r="B710" i="1"/>
  <c r="B709" i="1"/>
  <c r="B708" i="1"/>
  <c r="B707" i="1"/>
  <c r="B706" i="1"/>
  <c r="B705" i="1"/>
  <c r="B1086" i="1" s="1"/>
  <c r="B1467" i="1" s="1"/>
  <c r="B704" i="1"/>
  <c r="B1085" i="1" s="1"/>
  <c r="B1466" i="1" s="1"/>
  <c r="B703" i="1"/>
  <c r="B1084" i="1" s="1"/>
  <c r="B1465" i="1" s="1"/>
  <c r="B702" i="1"/>
  <c r="B701" i="1"/>
  <c r="B1082" i="1" s="1"/>
  <c r="B1463" i="1" s="1"/>
  <c r="B700" i="1"/>
  <c r="B1081" i="1" s="1"/>
  <c r="B1462" i="1" s="1"/>
  <c r="B699" i="1"/>
  <c r="B1080" i="1" s="1"/>
  <c r="B1461" i="1" s="1"/>
  <c r="B698" i="1"/>
  <c r="B1079" i="1" s="1"/>
  <c r="B1460" i="1" s="1"/>
  <c r="B697" i="1"/>
  <c r="B696" i="1"/>
  <c r="B695" i="1"/>
  <c r="B694" i="1"/>
  <c r="B693" i="1"/>
  <c r="B692" i="1"/>
  <c r="B691" i="1"/>
  <c r="B690" i="1"/>
  <c r="B689" i="1"/>
  <c r="B688" i="1"/>
  <c r="B687" i="1"/>
  <c r="B686" i="1"/>
  <c r="B1067" i="1" s="1"/>
  <c r="B1448" i="1" s="1"/>
  <c r="B685" i="1"/>
  <c r="B1066" i="1" s="1"/>
  <c r="B1447" i="1" s="1"/>
  <c r="B684" i="1"/>
  <c r="B1065" i="1" s="1"/>
  <c r="B1446" i="1" s="1"/>
  <c r="B683" i="1"/>
  <c r="B1064" i="1" s="1"/>
  <c r="B1445" i="1" s="1"/>
  <c r="B682" i="1"/>
  <c r="B1063" i="1" s="1"/>
  <c r="B1444" i="1" s="1"/>
  <c r="B681" i="1"/>
  <c r="B680" i="1"/>
  <c r="B679" i="1"/>
  <c r="B678" i="1"/>
  <c r="B677" i="1"/>
  <c r="B676" i="1"/>
  <c r="B675" i="1"/>
  <c r="B674" i="1"/>
  <c r="B673" i="1"/>
  <c r="B672" i="1"/>
  <c r="B671" i="1"/>
  <c r="B670" i="1"/>
  <c r="B669" i="1"/>
  <c r="B668" i="1"/>
  <c r="B1049" i="1" s="1"/>
  <c r="B1430" i="1" s="1"/>
  <c r="B667" i="1"/>
  <c r="B1048" i="1" s="1"/>
  <c r="B1429" i="1" s="1"/>
  <c r="B666" i="1"/>
  <c r="B1047" i="1" s="1"/>
  <c r="B1428" i="1" s="1"/>
  <c r="B665" i="1"/>
  <c r="B664" i="1"/>
  <c r="B663" i="1"/>
  <c r="B662" i="1"/>
  <c r="B661" i="1"/>
  <c r="B660" i="1"/>
  <c r="B659" i="1"/>
  <c r="B658" i="1"/>
  <c r="B657" i="1"/>
  <c r="B656" i="1"/>
  <c r="B655" i="1"/>
  <c r="B654" i="1"/>
  <c r="B653" i="1"/>
  <c r="B652" i="1"/>
  <c r="B1033" i="1" s="1"/>
  <c r="B1414" i="1" s="1"/>
  <c r="B651" i="1"/>
  <c r="B1032" i="1" s="1"/>
  <c r="B1413" i="1" s="1"/>
  <c r="B650" i="1"/>
  <c r="B1031" i="1" s="1"/>
  <c r="B1412" i="1" s="1"/>
  <c r="B649" i="1"/>
  <c r="B648" i="1"/>
  <c r="B647" i="1"/>
  <c r="B646" i="1"/>
  <c r="B645" i="1"/>
  <c r="B644" i="1"/>
  <c r="B643" i="1"/>
  <c r="B642" i="1"/>
  <c r="B641" i="1"/>
  <c r="B640" i="1"/>
  <c r="B639" i="1"/>
  <c r="B638" i="1"/>
  <c r="B637" i="1"/>
  <c r="B636" i="1"/>
  <c r="B1017" i="1" s="1"/>
  <c r="B1398" i="1" s="1"/>
  <c r="B635" i="1"/>
  <c r="B1016" i="1" s="1"/>
  <c r="B1397" i="1" s="1"/>
  <c r="B634" i="1"/>
  <c r="B1015" i="1" s="1"/>
  <c r="B1396" i="1" s="1"/>
  <c r="B633" i="1"/>
  <c r="B632" i="1"/>
  <c r="B631" i="1"/>
  <c r="B630" i="1"/>
  <c r="B629" i="1"/>
  <c r="B628" i="1"/>
  <c r="B627" i="1"/>
  <c r="B626" i="1"/>
  <c r="B1007" i="1" s="1"/>
  <c r="B1388" i="1" s="1"/>
  <c r="B625" i="1"/>
  <c r="B1006" i="1" s="1"/>
  <c r="B1387" i="1" s="1"/>
  <c r="B624" i="1"/>
  <c r="B1005" i="1" s="1"/>
  <c r="B1386" i="1" s="1"/>
  <c r="B623" i="1"/>
  <c r="B1004" i="1" s="1"/>
  <c r="B1385" i="1" s="1"/>
  <c r="B622" i="1"/>
  <c r="B1003" i="1" s="1"/>
  <c r="B1384" i="1" s="1"/>
  <c r="B621" i="1"/>
  <c r="B1002" i="1" s="1"/>
  <c r="B1383" i="1" s="1"/>
  <c r="B620" i="1"/>
  <c r="B1001" i="1" s="1"/>
  <c r="B1382" i="1" s="1"/>
  <c r="B619" i="1"/>
  <c r="B1000" i="1" s="1"/>
  <c r="B1381" i="1" s="1"/>
  <c r="B618" i="1"/>
  <c r="B999" i="1" s="1"/>
  <c r="B1380" i="1" s="1"/>
  <c r="B617" i="1"/>
  <c r="B616" i="1"/>
  <c r="B615" i="1"/>
  <c r="B614" i="1"/>
  <c r="B613" i="1"/>
  <c r="B612" i="1"/>
  <c r="B611" i="1"/>
  <c r="B610" i="1"/>
  <c r="B609" i="1"/>
  <c r="B608" i="1"/>
  <c r="B607" i="1"/>
  <c r="B988" i="1" s="1"/>
  <c r="B1369" i="1" s="1"/>
  <c r="B606" i="1"/>
  <c r="B987" i="1" s="1"/>
  <c r="B1368" i="1" s="1"/>
  <c r="B605" i="1"/>
  <c r="B986" i="1" s="1"/>
  <c r="B1367" i="1" s="1"/>
  <c r="B604" i="1"/>
  <c r="B985" i="1" s="1"/>
  <c r="B1366" i="1" s="1"/>
  <c r="B603" i="1"/>
  <c r="B984" i="1" s="1"/>
  <c r="B1365" i="1" s="1"/>
  <c r="B602" i="1"/>
  <c r="B983" i="1" s="1"/>
  <c r="B1364" i="1" s="1"/>
  <c r="B601" i="1"/>
  <c r="B600" i="1"/>
  <c r="B599" i="1"/>
  <c r="B598" i="1"/>
  <c r="B597" i="1"/>
  <c r="B596" i="1"/>
  <c r="B595" i="1"/>
  <c r="B594" i="1"/>
  <c r="B593" i="1"/>
  <c r="B592" i="1"/>
  <c r="B591" i="1"/>
  <c r="B590" i="1"/>
  <c r="B589" i="1"/>
  <c r="B588" i="1"/>
  <c r="B969" i="1" s="1"/>
  <c r="B1350" i="1" s="1"/>
  <c r="B587" i="1"/>
  <c r="B968" i="1" s="1"/>
  <c r="B1349" i="1" s="1"/>
  <c r="B586" i="1"/>
  <c r="B967" i="1" s="1"/>
  <c r="B1348" i="1" s="1"/>
  <c r="B585" i="1"/>
  <c r="B584" i="1"/>
  <c r="B583" i="1"/>
  <c r="B582" i="1"/>
  <c r="B581" i="1"/>
  <c r="B580" i="1"/>
  <c r="B579" i="1"/>
  <c r="B578" i="1"/>
  <c r="B577" i="1"/>
  <c r="B576" i="1"/>
  <c r="B575" i="1"/>
  <c r="B574" i="1"/>
  <c r="B573" i="1"/>
  <c r="B572" i="1"/>
  <c r="B953" i="1" s="1"/>
  <c r="B1334" i="1" s="1"/>
  <c r="B571" i="1"/>
  <c r="B952" i="1" s="1"/>
  <c r="B1333" i="1" s="1"/>
  <c r="B570" i="1"/>
  <c r="B951" i="1" s="1"/>
  <c r="B1332" i="1" s="1"/>
  <c r="B569" i="1"/>
  <c r="B568" i="1"/>
  <c r="B567" i="1"/>
  <c r="B566" i="1"/>
  <c r="B565" i="1"/>
  <c r="B564" i="1"/>
  <c r="B563" i="1"/>
  <c r="B562" i="1"/>
  <c r="B561" i="1"/>
  <c r="B560" i="1"/>
  <c r="B559" i="1"/>
  <c r="B558" i="1"/>
  <c r="B557" i="1"/>
  <c r="B556" i="1"/>
  <c r="B937" i="1" s="1"/>
  <c r="B1318" i="1" s="1"/>
  <c r="B555" i="1"/>
  <c r="B936" i="1" s="1"/>
  <c r="B1317" i="1" s="1"/>
  <c r="B554" i="1"/>
  <c r="B935" i="1" s="1"/>
  <c r="B1316" i="1" s="1"/>
  <c r="B553" i="1"/>
  <c r="B552" i="1"/>
  <c r="B551" i="1"/>
  <c r="B550" i="1"/>
  <c r="B549" i="1"/>
  <c r="B548" i="1"/>
  <c r="B547" i="1"/>
  <c r="B546" i="1"/>
  <c r="B545" i="1"/>
  <c r="B544" i="1"/>
  <c r="B543" i="1"/>
  <c r="B924" i="1" s="1"/>
  <c r="B1305" i="1" s="1"/>
  <c r="B542" i="1"/>
  <c r="B541" i="1"/>
  <c r="B540" i="1"/>
  <c r="B921" i="1" s="1"/>
  <c r="B1302" i="1" s="1"/>
  <c r="B539" i="1"/>
  <c r="B920" i="1" s="1"/>
  <c r="B1301" i="1" s="1"/>
  <c r="B538" i="1"/>
  <c r="B919" i="1" s="1"/>
  <c r="B1300" i="1" s="1"/>
  <c r="B537" i="1"/>
  <c r="B536" i="1"/>
  <c r="B535" i="1"/>
  <c r="B534" i="1"/>
  <c r="B533" i="1"/>
  <c r="B532" i="1"/>
  <c r="B531" i="1"/>
  <c r="B530" i="1"/>
  <c r="B529" i="1"/>
  <c r="B528" i="1"/>
  <c r="B909" i="1" s="1"/>
  <c r="B1290" i="1" s="1"/>
  <c r="B527" i="1"/>
  <c r="B908" i="1" s="1"/>
  <c r="B1289" i="1" s="1"/>
  <c r="B526" i="1"/>
  <c r="B525" i="1"/>
  <c r="B906" i="1" s="1"/>
  <c r="B1287" i="1" s="1"/>
  <c r="B524" i="1"/>
  <c r="B905" i="1" s="1"/>
  <c r="B1286" i="1" s="1"/>
  <c r="B523" i="1"/>
  <c r="B904" i="1" s="1"/>
  <c r="B1285" i="1" s="1"/>
  <c r="B522" i="1"/>
  <c r="B903" i="1" s="1"/>
  <c r="B1284" i="1" s="1"/>
  <c r="B521" i="1"/>
  <c r="B520" i="1"/>
  <c r="B519" i="1"/>
  <c r="B518" i="1"/>
  <c r="B517" i="1"/>
  <c r="B516" i="1"/>
  <c r="B515" i="1"/>
  <c r="B514" i="1"/>
  <c r="B513" i="1"/>
  <c r="B512" i="1"/>
  <c r="B511" i="1"/>
  <c r="B510" i="1"/>
  <c r="B509" i="1"/>
  <c r="B890" i="1" s="1"/>
  <c r="B1271" i="1" s="1"/>
  <c r="B508" i="1"/>
  <c r="B889" i="1" s="1"/>
  <c r="B1270" i="1" s="1"/>
  <c r="B507" i="1"/>
  <c r="B888" i="1" s="1"/>
  <c r="B1269" i="1" s="1"/>
  <c r="B506" i="1"/>
  <c r="B887" i="1" s="1"/>
  <c r="B1268" i="1" s="1"/>
  <c r="B505" i="1"/>
  <c r="B504" i="1"/>
  <c r="B503" i="1"/>
  <c r="B502" i="1"/>
  <c r="B501" i="1"/>
  <c r="B500" i="1"/>
  <c r="B499" i="1"/>
  <c r="B498" i="1"/>
  <c r="B497" i="1"/>
  <c r="B496" i="1"/>
  <c r="B495" i="1"/>
  <c r="B494" i="1"/>
  <c r="B493" i="1"/>
  <c r="B492" i="1"/>
  <c r="B873" i="1" s="1"/>
  <c r="B1254" i="1" s="1"/>
  <c r="B491" i="1"/>
  <c r="B872" i="1" s="1"/>
  <c r="B1253" i="1" s="1"/>
  <c r="B490" i="1"/>
  <c r="B871" i="1" s="1"/>
  <c r="B1252" i="1" s="1"/>
  <c r="B489" i="1"/>
  <c r="B488" i="1"/>
  <c r="B487" i="1"/>
  <c r="B486" i="1"/>
  <c r="B485" i="1"/>
  <c r="B484" i="1"/>
  <c r="B483" i="1"/>
  <c r="B482" i="1"/>
  <c r="B481" i="1"/>
  <c r="B480" i="1"/>
  <c r="B479" i="1"/>
  <c r="B478" i="1"/>
  <c r="B477" i="1"/>
  <c r="B476" i="1"/>
  <c r="B857" i="1" s="1"/>
  <c r="B1238" i="1" s="1"/>
  <c r="B475" i="1"/>
  <c r="B856" i="1" s="1"/>
  <c r="B1237" i="1" s="1"/>
  <c r="B474" i="1"/>
  <c r="B855" i="1" s="1"/>
  <c r="B1236" i="1" s="1"/>
  <c r="B473" i="1"/>
  <c r="B472" i="1"/>
  <c r="B471" i="1"/>
  <c r="B470" i="1"/>
  <c r="B469" i="1"/>
  <c r="B468" i="1"/>
  <c r="B467" i="1"/>
  <c r="B466" i="1"/>
  <c r="B465" i="1"/>
  <c r="B464" i="1"/>
  <c r="B845" i="1" s="1"/>
  <c r="B1226" i="1" s="1"/>
  <c r="B463" i="1"/>
  <c r="B844" i="1" s="1"/>
  <c r="B1225" i="1" s="1"/>
  <c r="B462" i="1"/>
  <c r="B461" i="1"/>
  <c r="B460" i="1"/>
  <c r="B841" i="1" s="1"/>
  <c r="B1222" i="1" s="1"/>
  <c r="B459" i="1"/>
  <c r="B840" i="1" s="1"/>
  <c r="B1221" i="1" s="1"/>
  <c r="B458" i="1"/>
  <c r="B839" i="1" s="1"/>
  <c r="B1220" i="1" s="1"/>
  <c r="B457" i="1"/>
  <c r="B456" i="1"/>
  <c r="B455" i="1"/>
  <c r="B454" i="1"/>
  <c r="B453" i="1"/>
  <c r="B452" i="1"/>
  <c r="B451" i="1"/>
  <c r="B450" i="1"/>
  <c r="B449" i="1"/>
  <c r="B830" i="1" s="1"/>
  <c r="B1211" i="1" s="1"/>
  <c r="B448" i="1"/>
  <c r="B829" i="1" s="1"/>
  <c r="B1210" i="1" s="1"/>
  <c r="B447" i="1"/>
  <c r="B828" i="1" s="1"/>
  <c r="B1209" i="1" s="1"/>
  <c r="B446" i="1"/>
  <c r="B445" i="1"/>
  <c r="B826" i="1" s="1"/>
  <c r="B1207" i="1" s="1"/>
  <c r="B444" i="1"/>
  <c r="B825" i="1" s="1"/>
  <c r="B1206" i="1" s="1"/>
  <c r="B443" i="1"/>
  <c r="B824" i="1" s="1"/>
  <c r="B1205" i="1" s="1"/>
  <c r="B442" i="1"/>
  <c r="B823" i="1" s="1"/>
  <c r="B1204" i="1" s="1"/>
  <c r="B441" i="1"/>
  <c r="B440" i="1"/>
  <c r="B439" i="1"/>
  <c r="B438" i="1"/>
  <c r="B437" i="1"/>
  <c r="B436" i="1"/>
  <c r="B435" i="1"/>
  <c r="B434" i="1"/>
  <c r="B433" i="1"/>
  <c r="B432" i="1"/>
  <c r="B431" i="1"/>
  <c r="B430" i="1"/>
  <c r="B811" i="1" s="1"/>
  <c r="B1192" i="1" s="1"/>
  <c r="B429" i="1"/>
  <c r="B810" i="1" s="1"/>
  <c r="B1191" i="1" s="1"/>
  <c r="B428" i="1"/>
  <c r="B809" i="1" s="1"/>
  <c r="B1190" i="1" s="1"/>
  <c r="B427" i="1"/>
  <c r="B808" i="1" s="1"/>
  <c r="B1189" i="1" s="1"/>
  <c r="B426" i="1"/>
  <c r="B807" i="1" s="1"/>
  <c r="B1188" i="1" s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793" i="1" s="1"/>
  <c r="B1174" i="1" s="1"/>
  <c r="B1555" i="1" s="1"/>
  <c r="B411" i="1"/>
  <c r="B792" i="1" s="1"/>
  <c r="B1173" i="1" s="1"/>
  <c r="B1554" i="1" s="1"/>
  <c r="B410" i="1"/>
  <c r="B791" i="1" s="1"/>
  <c r="B1172" i="1" s="1"/>
  <c r="B1553" i="1" s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777" i="1" s="1"/>
  <c r="B1158" i="1" s="1"/>
  <c r="B1539" i="1" s="1"/>
  <c r="B395" i="1"/>
  <c r="B776" i="1" s="1"/>
  <c r="B1157" i="1" s="1"/>
  <c r="B394" i="1"/>
  <c r="B775" i="1" s="1"/>
  <c r="B1156" i="1" s="1"/>
  <c r="B393" i="1"/>
  <c r="B392" i="1"/>
  <c r="B391" i="1"/>
  <c r="B390" i="1"/>
  <c r="B389" i="1"/>
  <c r="B388" i="1"/>
  <c r="B387" i="1"/>
  <c r="B386" i="1"/>
  <c r="B385" i="1"/>
  <c r="B384" i="1"/>
  <c r="B383" i="1"/>
  <c r="Y16" i="1" l="1" a="1"/>
  <c r="Y16" i="1" s="1"/>
  <c r="W16" i="1" l="1" a="1"/>
  <c r="W1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Katerina</author>
  </authors>
  <commentList>
    <comment ref="B578" authorId="0" shapeId="0" xr:uid="{60AA7620-0DA8-41A5-80A2-A3A8C2BCED21}">
      <text>
        <r>
          <rPr>
            <b/>
            <sz val="9"/>
            <color indexed="81"/>
            <rFont val="Tahoma"/>
            <family val="2"/>
            <charset val="161"/>
          </rPr>
          <t>historically observed values are repeated unless otherwise assumed</t>
        </r>
        <r>
          <rPr>
            <sz val="9"/>
            <color indexed="81"/>
            <rFont val="Tahoma"/>
            <family val="2"/>
            <charset val="161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<sst xmlns="http://schemas.openxmlformats.org/spreadsheetml/2006/main" count="27" uniqueCount="23">
  <si>
    <t>Date</t>
  </si>
  <si>
    <t>Obs</t>
  </si>
  <si>
    <t>GCM_RCM</t>
  </si>
  <si>
    <t>Month</t>
  </si>
  <si>
    <t xml:space="preserve">https://doi.org/10.1007/s11269-022-03392-x </t>
  </si>
  <si>
    <t>Don’t change name of 'Sheet1' --- Don’t add any more sheets</t>
  </si>
  <si>
    <t>Select buttons to bias correct</t>
  </si>
  <si>
    <t>Mean Obs</t>
  </si>
  <si>
    <t>Mean Base</t>
  </si>
  <si>
    <t>StDev Obs</t>
  </si>
  <si>
    <t>StDev Base</t>
  </si>
  <si>
    <t>Delta_m</t>
  </si>
  <si>
    <t>Delta_m_Pre</t>
  </si>
  <si>
    <t>b</t>
  </si>
  <si>
    <t>a</t>
  </si>
  <si>
    <t>Delta_mv_Pre</t>
  </si>
  <si>
    <t>Fbase,Gamma</t>
  </si>
  <si>
    <t>QuantileG_Pre</t>
  </si>
  <si>
    <r>
      <rPr>
        <b/>
        <i/>
        <sz val="11"/>
        <color rgb="FF222222"/>
        <rFont val="Arial Unicode MS"/>
        <family val="2"/>
        <charset val="161"/>
      </rPr>
      <t xml:space="preserve"> Disclaimer: </t>
    </r>
    <r>
      <rPr>
        <i/>
        <sz val="11"/>
        <color rgb="FF222222"/>
        <rFont val="Arial Unicode MS"/>
        <family val="2"/>
        <charset val="161"/>
      </rPr>
      <t xml:space="preserve">developed for the study </t>
    </r>
    <r>
      <rPr>
        <sz val="11"/>
        <color rgb="FF222222"/>
        <rFont val="Arial Unicode MS"/>
        <family val="2"/>
        <charset val="161"/>
      </rPr>
      <t>Lyra, A., &amp; Loukas, A. (2023). Simulation and Evaluation of Water Resources Management Scenarios Under Climate Change for Adaptive Management of Coastal Agricultural Watersheds. </t>
    </r>
    <r>
      <rPr>
        <i/>
        <sz val="11"/>
        <color rgb="FF222222"/>
        <rFont val="Arial Unicode MS"/>
        <family val="2"/>
        <charset val="161"/>
      </rPr>
      <t>Water Resources Management</t>
    </r>
    <r>
      <rPr>
        <sz val="11"/>
        <color rgb="FF222222"/>
        <rFont val="Arial Unicode MS"/>
        <family val="2"/>
        <charset val="161"/>
      </rPr>
      <t>, </t>
    </r>
    <r>
      <rPr>
        <i/>
        <sz val="11"/>
        <color rgb="FF222222"/>
        <rFont val="Arial Unicode MS"/>
        <family val="2"/>
        <charset val="161"/>
      </rPr>
      <t>37</t>
    </r>
    <r>
      <rPr>
        <sz val="11"/>
        <color rgb="FF222222"/>
        <rFont val="Arial Unicode MS"/>
        <family val="2"/>
        <charset val="161"/>
      </rPr>
      <t>(6-7), 2625-2642.</t>
    </r>
  </si>
  <si>
    <t>â0=ó2/ì</t>
  </si>
  <si>
    <t>á0=ì/â0</t>
  </si>
  <si>
    <t>â=ó2/ì</t>
  </si>
  <si>
    <t>á=ì/â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</si>
</sst>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charset val="161"/>
      <scheme val="minor"/>
    </font>
    <font>
      <sz val="12"/>
      <color theme="1"/>
      <name val="Calibri"/>
      <family val="2"/>
      <charset val="161"/>
      <scheme val="minor"/>
    </font>
    <font>
      <sz val="10"/>
      <name val="Arial"/>
      <family val="2"/>
      <charset val="161"/>
    </font>
    <font>
      <sz val="10"/>
      <name val="Arial Greek"/>
      <charset val="161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222222"/>
      <name val="Arial Unicode MS"/>
      <family val="2"/>
      <charset val="161"/>
    </font>
    <font>
      <u/>
      <sz val="12"/>
      <color theme="10"/>
      <name val="Arial Unicode MS"/>
      <family val="2"/>
      <charset val="161"/>
    </font>
    <font>
      <sz val="11"/>
      <color rgb="FF222222"/>
      <name val="Arial Unicode MS"/>
      <family val="2"/>
      <charset val="161"/>
    </font>
    <font>
      <b/>
      <i/>
      <sz val="11"/>
      <color rgb="FF222222"/>
      <name val="Arial Unicode MS"/>
      <family val="2"/>
      <charset val="161"/>
    </font>
    <font>
      <i/>
      <sz val="11"/>
      <color rgb="FF222222"/>
      <name val="Arial Unicode MS"/>
      <family val="2"/>
      <charset val="161"/>
    </font>
    <font>
      <sz val="12"/>
      <color rgb="FF000000"/>
      <name val="Calibri"/>
      <family val="2"/>
    </font>
    <font>
      <sz val="10"/>
      <color rgb="FF00B0F0"/>
      <name val="Cambria"/>
      <family val="1"/>
      <charset val="161"/>
    </font>
    <font>
      <i/>
      <sz val="9"/>
      <name val="Cambria"/>
      <family val="1"/>
    </font>
    <font>
      <b/>
      <sz val="9"/>
      <color indexed="81"/>
      <name val="Tahoma"/>
      <family val="2"/>
      <charset val="161"/>
    </font>
    <font>
      <sz val="9"/>
      <color indexed="81"/>
      <name val="Tahoma"/>
      <family val="2"/>
      <charset val="161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rgb="FFB2B2B2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/>
      <bottom style="thin">
        <color indexed="64"/>
      </bottom>
      <diagonal/>
    </border>
    <border>
      <left style="thin">
        <color rgb="FFB2B2B2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4" fillId="0" borderId="0"/>
    <xf numFmtId="0" fontId="5" fillId="0" borderId="0"/>
    <xf numFmtId="0" fontId="7" fillId="0" borderId="0" applyNumberFormat="0" applyFill="0" applyBorder="0" applyAlignment="0" applyProtection="0"/>
    <xf numFmtId="0" fontId="6" fillId="3" borderId="9" applyNumberFormat="0" applyFont="0" applyAlignment="0" applyProtection="0"/>
  </cellStyleXfs>
  <cellXfs count="46">
    <xf numFmtId="0" fontId="0" fillId="0" borderId="0" xfId="0"/>
    <xf numFmtId="0" fontId="0" fillId="2" borderId="0" xfId="0" applyFill="1"/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2" fontId="0" fillId="0" borderId="0" xfId="0" applyNumberFormat="1" applyAlignment="1">
      <alignment horizontal="center" vertical="center"/>
    </xf>
    <xf numFmtId="2" fontId="0" fillId="0" borderId="0" xfId="0" quotePrefix="1" applyNumberFormat="1" applyAlignment="1">
      <alignment horizontal="center" vertical="center"/>
    </xf>
    <xf numFmtId="0" fontId="2" fillId="2" borderId="0" xfId="0" applyFont="1" applyFill="1"/>
    <xf numFmtId="0" fontId="2" fillId="2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center"/>
    </xf>
    <xf numFmtId="164" fontId="14" fillId="0" borderId="0" xfId="0" applyNumberFormat="1" applyFont="1" applyAlignment="1">
      <alignment horizontal="center" vertical="center"/>
    </xf>
    <xf numFmtId="164" fontId="15" fillId="0" borderId="0" xfId="0" applyNumberFormat="1" applyFont="1" applyAlignment="1">
      <alignment horizontal="center" vertical="center"/>
    </xf>
    <xf numFmtId="164" fontId="0" fillId="0" borderId="0" xfId="0" applyNumberFormat="1"/>
    <xf numFmtId="2" fontId="0" fillId="0" borderId="0" xfId="0" applyNumberFormat="1"/>
    <xf numFmtId="0" fontId="10" fillId="3" borderId="10" xfId="4" applyFont="1" applyBorder="1" applyAlignment="1">
      <alignment horizontal="center" vertical="center" wrapText="1"/>
    </xf>
    <xf numFmtId="0" fontId="10" fillId="3" borderId="11" xfId="4" applyFont="1" applyBorder="1" applyAlignment="1">
      <alignment horizontal="center" vertical="center" wrapText="1"/>
    </xf>
    <xf numFmtId="0" fontId="10" fillId="3" borderId="12" xfId="4" applyFont="1" applyBorder="1" applyAlignment="1">
      <alignment horizontal="center" vertical="center" wrapText="1"/>
    </xf>
    <xf numFmtId="0" fontId="10" fillId="3" borderId="16" xfId="4" applyFont="1" applyBorder="1" applyAlignment="1">
      <alignment horizontal="center" vertical="center" wrapText="1"/>
    </xf>
    <xf numFmtId="0" fontId="10" fillId="3" borderId="9" xfId="4" applyFont="1" applyAlignment="1">
      <alignment horizontal="center" vertical="center" wrapText="1"/>
    </xf>
    <xf numFmtId="0" fontId="10" fillId="3" borderId="17" xfId="4" applyFont="1" applyBorder="1" applyAlignment="1">
      <alignment horizontal="center" vertical="center" wrapText="1"/>
    </xf>
    <xf numFmtId="0" fontId="10" fillId="3" borderId="13" xfId="4" applyFont="1" applyBorder="1" applyAlignment="1">
      <alignment horizontal="center" vertical="center" wrapText="1"/>
    </xf>
    <xf numFmtId="0" fontId="10" fillId="3" borderId="14" xfId="4" applyFont="1" applyBorder="1" applyAlignment="1">
      <alignment horizontal="center" vertical="center" wrapText="1"/>
    </xf>
    <xf numFmtId="0" fontId="10" fillId="3" borderId="15" xfId="4" applyFont="1" applyBorder="1" applyAlignment="1">
      <alignment horizontal="center" vertical="center" wrapText="1"/>
    </xf>
    <xf numFmtId="0" fontId="9" fillId="3" borderId="18" xfId="4" applyFont="1" applyBorder="1" applyAlignment="1">
      <alignment horizontal="center" vertical="center"/>
    </xf>
    <xf numFmtId="0" fontId="8" fillId="3" borderId="19" xfId="4" applyFont="1" applyBorder="1" applyAlignment="1">
      <alignment horizontal="center" vertical="center"/>
    </xf>
    <xf numFmtId="0" fontId="8" fillId="3" borderId="20" xfId="4" applyFont="1" applyBorder="1" applyAlignment="1">
      <alignment horizontal="center" vertical="center"/>
    </xf>
    <xf numFmtId="0" fontId="7" fillId="0" borderId="2" xfId="3" applyBorder="1" applyAlignment="1">
      <alignment horizontal="center" vertical="center" wrapText="1"/>
    </xf>
    <xf numFmtId="0" fontId="7" fillId="0" borderId="3" xfId="3" applyBorder="1" applyAlignment="1">
      <alignment horizontal="center" vertical="center" wrapText="1"/>
    </xf>
    <xf numFmtId="0" fontId="7" fillId="0" borderId="4" xfId="3" applyBorder="1" applyAlignment="1">
      <alignment horizontal="center" vertical="center" wrapText="1"/>
    </xf>
    <xf numFmtId="0" fontId="7" fillId="0" borderId="5" xfId="3" applyBorder="1" applyAlignment="1">
      <alignment horizontal="center" vertical="center" wrapText="1"/>
    </xf>
    <xf numFmtId="0" fontId="7" fillId="0" borderId="0" xfId="3" applyBorder="1" applyAlignment="1">
      <alignment horizontal="center" vertical="center" wrapText="1"/>
    </xf>
    <xf numFmtId="0" fontId="7" fillId="0" borderId="6" xfId="3" applyBorder="1" applyAlignment="1">
      <alignment horizontal="center" vertical="center" wrapText="1"/>
    </xf>
    <xf numFmtId="0" fontId="7" fillId="0" borderId="7" xfId="3" applyBorder="1" applyAlignment="1">
      <alignment horizontal="center" vertical="center" wrapText="1"/>
    </xf>
    <xf numFmtId="0" fontId="7" fillId="0" borderId="1" xfId="3" applyBorder="1" applyAlignment="1">
      <alignment horizontal="center" vertical="center" wrapText="1"/>
    </xf>
    <xf numFmtId="0" fontId="7" fillId="0" borderId="8" xfId="3" applyBorder="1" applyAlignment="1">
      <alignment horizontal="center" vertical="center" wrapText="1"/>
    </xf>
    <xf numFmtId="0" fontId="12" fillId="3" borderId="10" xfId="4" applyFont="1" applyBorder="1" applyAlignment="1">
      <alignment horizontal="center" vertical="center" wrapText="1"/>
    </xf>
    <xf numFmtId="0" fontId="12" fillId="3" borderId="11" xfId="4" applyFont="1" applyBorder="1" applyAlignment="1">
      <alignment horizontal="center" vertical="center" wrapText="1"/>
    </xf>
    <xf numFmtId="0" fontId="12" fillId="3" borderId="12" xfId="4" applyFont="1" applyBorder="1" applyAlignment="1">
      <alignment horizontal="center" vertical="center" wrapText="1"/>
    </xf>
    <xf numFmtId="0" fontId="12" fillId="3" borderId="13" xfId="4" applyFont="1" applyBorder="1" applyAlignment="1">
      <alignment horizontal="center" vertical="center" wrapText="1"/>
    </xf>
    <xf numFmtId="0" fontId="12" fillId="3" borderId="14" xfId="4" applyFont="1" applyBorder="1" applyAlignment="1">
      <alignment horizontal="center" vertical="center" wrapText="1"/>
    </xf>
    <xf numFmtId="0" fontId="12" fillId="3" borderId="15" xfId="4" applyFont="1" applyBorder="1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5">
    <cellStyle name="Normal" xfId="0" builtinId="0"/>
    <cellStyle name="Normal 2" xfId="2" xr:uid="{113F17F5-3189-4D7C-BFB1-9719F38E5D45}"/>
    <cellStyle name="Note" xfId="4" builtinId="10"/>
    <cellStyle name="Warning Text" xfId="3" builtinId="11"/>
    <cellStyle name="Βασικό_marina" xfId="1" xr:uid="{AE439C3A-CA8A-4FCE-BB8F-F8B37D4CBA6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  <cx:data id="1">
      <cx:numDim type="val">
        <cx:f>_xlchart.v1.3</cx:f>
      </cx:numDim>
    </cx:data>
    <cx:data id="2">
      <cx:numDim type="val">
        <cx:f>_xlchart.v1.5</cx:f>
      </cx:numDim>
    </cx:data>
    <cx:data id="3">
      <cx:numDim type="val">
        <cx:f>_xlchart.v1.7</cx:f>
      </cx:numDim>
    </cx:data>
  </cx:chartData>
  <cx:chart>
    <cx:title pos="t" align="ctr" overlay="0">
      <cx:tx>
        <cx:txData>
          <cx:v>1971-2000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Calibri" panose="020F0502020204030204"/>
            </a:rPr>
            <a:t>1971-2000</a:t>
          </a:r>
        </a:p>
      </cx:txPr>
    </cx:title>
    <cx:plotArea>
      <cx:plotAreaRegion>
        <cx:series layoutId="boxWhisker" uniqueId="{472BCDC9-CD92-4F0C-A9A2-5658CEE16C7C}">
          <cx:tx>
            <cx:txData>
              <cx:f>_xlchart.v1.0</cx:f>
              <cx:v>Obs</cx:v>
            </cx:txData>
          </cx:tx>
          <cx:dataId val="0"/>
          <cx:layoutPr>
            <cx:visibility meanLine="1" meanMarker="0" nonoutliers="0" outliers="1"/>
            <cx:statistics quartileMethod="exclusive"/>
          </cx:layoutPr>
        </cx:series>
        <cx:series layoutId="boxWhisker" uniqueId="{2B038F42-11FA-464C-B1C8-F13906534762}">
          <cx:tx>
            <cx:txData>
              <cx:f>_xlchart.v1.2</cx:f>
              <cx:v>Delta_m_Pre</cx:v>
            </cx:txData>
          </cx:tx>
          <cx:dataId val="1"/>
          <cx:layoutPr>
            <cx:visibility meanLine="1" meanMarker="1" nonoutliers="0"/>
            <cx:statistics quartileMethod="inclusive"/>
          </cx:layoutPr>
        </cx:series>
        <cx:series layoutId="boxWhisker" uniqueId="{95B06C93-AD25-47B2-8700-7DB43F208B84}">
          <cx:tx>
            <cx:txData>
              <cx:f>_xlchart.v1.4</cx:f>
              <cx:v>Delta_mv_Pre</cx:v>
            </cx:txData>
          </cx:tx>
          <cx:dataId val="2"/>
          <cx:layoutPr>
            <cx:visibility meanLine="1" meanMarker="1" nonoutliers="0"/>
            <cx:statistics quartileMethod="exclusive"/>
          </cx:layoutPr>
        </cx:series>
        <cx:series layoutId="boxWhisker" uniqueId="{34EEDF9F-8E8D-477A-9017-1D19F4B58BD6}">
          <cx:tx>
            <cx:txData>
              <cx:f>_xlchart.v1.6</cx:f>
              <cx:v>QuantileG_Pre</cx:v>
            </cx:txData>
          </cx:tx>
          <cx:dataId val="3"/>
          <cx:layoutPr>
            <cx:visibility meanLine="1" meanMarker="1" nonoutliers="0"/>
            <cx:statistics quartileMethod="exclusive"/>
          </cx:layoutPr>
        </cx:series>
      </cx:plotAreaRegion>
      <cx:axis id="0">
        <cx:catScaling gapWidth="1"/>
        <cx:tickLabels/>
        <cx:txPr>
          <a:bodyPr vertOverflow="overflow" horzOverflow="overflow" wrap="square" lIns="0" tIns="0" rIns="0" bIns="0"/>
          <a:lstStyle/>
          <a:p>
            <a:pPr algn="ctr" rtl="0">
              <a:defRPr sz="1400" b="0" i="0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l-GR" sz="1400">
              <a:solidFill>
                <a:schemeClr val="tx1"/>
              </a:solidFill>
            </a:endParaRPr>
          </a:p>
        </cx:txPr>
      </cx:axis>
      <cx:axis id="1">
        <cx:valScaling/>
        <cx:majorGridlines/>
        <cx:tickLabels/>
        <cx:numFmt formatCode="0" sourceLinked="0"/>
        <cx:txPr>
          <a:bodyPr vertOverflow="overflow" horzOverflow="overflow" wrap="square" lIns="0" tIns="0" rIns="0" bIns="0"/>
          <a:lstStyle/>
          <a:p>
            <a:pPr algn="ctr" rtl="0">
              <a:defRPr sz="1400" b="0" i="0">
                <a:solidFill>
                  <a:schemeClr val="tx1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l-GR" sz="1400">
              <a:solidFill>
                <a:schemeClr val="tx1"/>
              </a:solidFill>
            </a:endParaRPr>
          </a:p>
        </cx:txPr>
      </cx:axis>
    </cx:plotArea>
    <cx:legend pos="b" align="ctr" overlay="0">
      <cx:txPr>
        <a:bodyPr vertOverflow="overflow" horzOverflow="overflow" wrap="square" lIns="0" tIns="0" rIns="0" bIns="0"/>
        <a:lstStyle/>
        <a:p>
          <a:pPr algn="ctr" rtl="0">
            <a:defRPr sz="1400" b="0" i="0">
              <a:solidFill>
                <a:schemeClr val="tx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el-GR" sz="1400">
            <a:solidFill>
              <a:schemeClr val="tx1"/>
            </a:solidFill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7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571500</xdr:colOff>
      <xdr:row>0</xdr:row>
      <xdr:rowOff>179917</xdr:rowOff>
    </xdr:from>
    <xdr:to>
      <xdr:col>7</xdr:col>
      <xdr:colOff>42334</xdr:colOff>
      <xdr:row>13</xdr:row>
      <xdr:rowOff>21167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25750" y="179917"/>
          <a:ext cx="1926167" cy="2455333"/>
        </a:xfrm>
        <a:prstGeom prst="rect">
          <a:avLst/>
        </a:prstGeom>
        <a:noFill/>
        <a:ln w="28575" cap="flat" cmpd="sng" algn="ctr">
          <a:solidFill>
            <a:schemeClr val="tx1">
              <a:lumMod val="95000"/>
              <a:lumOff val="5000"/>
            </a:schemeClr>
          </a:solidFill>
          <a:prstDash val="solid"/>
          <a:round/>
          <a:headEnd type="none" w="med" len="med"/>
          <a:tailEnd type="none" w="med" len="med"/>
          <a:extLst>
            <a:ext uri="{C807C97D-BFC1-408E-A445-0C87EB9F89A2}">
              <ask:lineSketchStyleProps xmlns:ask="http://schemas.microsoft.com/office/drawing/2018/sketchyshapes" sd="1548687692">
                <a:custGeom>
                  <a:avLst/>
                  <a:gdLst>
                    <a:gd name="connsiteX0" fmla="*/ 0 w 1926167"/>
                    <a:gd name="connsiteY0" fmla="*/ 0 h 2455333"/>
                    <a:gd name="connsiteX1" fmla="*/ 443018 w 1926167"/>
                    <a:gd name="connsiteY1" fmla="*/ 0 h 2455333"/>
                    <a:gd name="connsiteX2" fmla="*/ 905298 w 1926167"/>
                    <a:gd name="connsiteY2" fmla="*/ 0 h 2455333"/>
                    <a:gd name="connsiteX3" fmla="*/ 1348317 w 1926167"/>
                    <a:gd name="connsiteY3" fmla="*/ 0 h 2455333"/>
                    <a:gd name="connsiteX4" fmla="*/ 1926167 w 1926167"/>
                    <a:gd name="connsiteY4" fmla="*/ 0 h 2455333"/>
                    <a:gd name="connsiteX5" fmla="*/ 1926167 w 1926167"/>
                    <a:gd name="connsiteY5" fmla="*/ 417407 h 2455333"/>
                    <a:gd name="connsiteX6" fmla="*/ 1926167 w 1926167"/>
                    <a:gd name="connsiteY6" fmla="*/ 957580 h 2455333"/>
                    <a:gd name="connsiteX7" fmla="*/ 1926167 w 1926167"/>
                    <a:gd name="connsiteY7" fmla="*/ 1399540 h 2455333"/>
                    <a:gd name="connsiteX8" fmla="*/ 1926167 w 1926167"/>
                    <a:gd name="connsiteY8" fmla="*/ 1866053 h 2455333"/>
                    <a:gd name="connsiteX9" fmla="*/ 1926167 w 1926167"/>
                    <a:gd name="connsiteY9" fmla="*/ 2455333 h 2455333"/>
                    <a:gd name="connsiteX10" fmla="*/ 1406102 w 1926167"/>
                    <a:gd name="connsiteY10" fmla="*/ 2455333 h 2455333"/>
                    <a:gd name="connsiteX11" fmla="*/ 924560 w 1926167"/>
                    <a:gd name="connsiteY11" fmla="*/ 2455333 h 2455333"/>
                    <a:gd name="connsiteX12" fmla="*/ 481542 w 1926167"/>
                    <a:gd name="connsiteY12" fmla="*/ 2455333 h 2455333"/>
                    <a:gd name="connsiteX13" fmla="*/ 0 w 1926167"/>
                    <a:gd name="connsiteY13" fmla="*/ 2455333 h 2455333"/>
                    <a:gd name="connsiteX14" fmla="*/ 0 w 1926167"/>
                    <a:gd name="connsiteY14" fmla="*/ 2037926 h 2455333"/>
                    <a:gd name="connsiteX15" fmla="*/ 0 w 1926167"/>
                    <a:gd name="connsiteY15" fmla="*/ 1620520 h 2455333"/>
                    <a:gd name="connsiteX16" fmla="*/ 0 w 1926167"/>
                    <a:gd name="connsiteY16" fmla="*/ 1104900 h 2455333"/>
                    <a:gd name="connsiteX17" fmla="*/ 0 w 1926167"/>
                    <a:gd name="connsiteY17" fmla="*/ 687493 h 2455333"/>
                    <a:gd name="connsiteX18" fmla="*/ 0 w 1926167"/>
                    <a:gd name="connsiteY18" fmla="*/ 0 h 2455333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  <a:cxn ang="0">
                      <a:pos x="connsiteX18" y="connsiteY18"/>
                    </a:cxn>
                  </a:cxnLst>
                  <a:rect l="l" t="t" r="r" b="b"/>
                  <a:pathLst>
                    <a:path w="1926167" h="2455333" fill="none" extrusionOk="0">
                      <a:moveTo>
                        <a:pt x="0" y="0"/>
                      </a:moveTo>
                      <a:cubicBezTo>
                        <a:pt x="166842" y="-12220"/>
                        <a:pt x="259682" y="33897"/>
                        <a:pt x="443018" y="0"/>
                      </a:cubicBezTo>
                      <a:cubicBezTo>
                        <a:pt x="626354" y="-33897"/>
                        <a:pt x="811174" y="52419"/>
                        <a:pt x="905298" y="0"/>
                      </a:cubicBezTo>
                      <a:cubicBezTo>
                        <a:pt x="999422" y="-52419"/>
                        <a:pt x="1149320" y="48753"/>
                        <a:pt x="1348317" y="0"/>
                      </a:cubicBezTo>
                      <a:cubicBezTo>
                        <a:pt x="1547314" y="-48753"/>
                        <a:pt x="1742661" y="14147"/>
                        <a:pt x="1926167" y="0"/>
                      </a:cubicBezTo>
                      <a:cubicBezTo>
                        <a:pt x="1954093" y="206256"/>
                        <a:pt x="1898287" y="308221"/>
                        <a:pt x="1926167" y="417407"/>
                      </a:cubicBezTo>
                      <a:cubicBezTo>
                        <a:pt x="1954047" y="526593"/>
                        <a:pt x="1913463" y="802539"/>
                        <a:pt x="1926167" y="957580"/>
                      </a:cubicBezTo>
                      <a:cubicBezTo>
                        <a:pt x="1938871" y="1112621"/>
                        <a:pt x="1913388" y="1201280"/>
                        <a:pt x="1926167" y="1399540"/>
                      </a:cubicBezTo>
                      <a:cubicBezTo>
                        <a:pt x="1938946" y="1597800"/>
                        <a:pt x="1908523" y="1663219"/>
                        <a:pt x="1926167" y="1866053"/>
                      </a:cubicBezTo>
                      <a:cubicBezTo>
                        <a:pt x="1943811" y="2068887"/>
                        <a:pt x="1866455" y="2179456"/>
                        <a:pt x="1926167" y="2455333"/>
                      </a:cubicBezTo>
                      <a:cubicBezTo>
                        <a:pt x="1786958" y="2476951"/>
                        <a:pt x="1528590" y="2405158"/>
                        <a:pt x="1406102" y="2455333"/>
                      </a:cubicBezTo>
                      <a:cubicBezTo>
                        <a:pt x="1283614" y="2505508"/>
                        <a:pt x="1162976" y="2447054"/>
                        <a:pt x="924560" y="2455333"/>
                      </a:cubicBezTo>
                      <a:cubicBezTo>
                        <a:pt x="686144" y="2463612"/>
                        <a:pt x="680823" y="2426061"/>
                        <a:pt x="481542" y="2455333"/>
                      </a:cubicBezTo>
                      <a:cubicBezTo>
                        <a:pt x="282261" y="2484605"/>
                        <a:pt x="143768" y="2453085"/>
                        <a:pt x="0" y="2455333"/>
                      </a:cubicBezTo>
                      <a:cubicBezTo>
                        <a:pt x="-36354" y="2337606"/>
                        <a:pt x="14037" y="2214561"/>
                        <a:pt x="0" y="2037926"/>
                      </a:cubicBezTo>
                      <a:cubicBezTo>
                        <a:pt x="-14037" y="1861291"/>
                        <a:pt x="38877" y="1795077"/>
                        <a:pt x="0" y="1620520"/>
                      </a:cubicBezTo>
                      <a:cubicBezTo>
                        <a:pt x="-38877" y="1445963"/>
                        <a:pt x="14170" y="1320036"/>
                        <a:pt x="0" y="1104900"/>
                      </a:cubicBezTo>
                      <a:cubicBezTo>
                        <a:pt x="-14170" y="889764"/>
                        <a:pt x="18815" y="875188"/>
                        <a:pt x="0" y="687493"/>
                      </a:cubicBezTo>
                      <a:cubicBezTo>
                        <a:pt x="-18815" y="499798"/>
                        <a:pt x="73015" y="275772"/>
                        <a:pt x="0" y="0"/>
                      </a:cubicBezTo>
                      <a:close/>
                    </a:path>
                    <a:path w="1926167" h="2455333" stroke="0" extrusionOk="0">
                      <a:moveTo>
                        <a:pt x="0" y="0"/>
                      </a:moveTo>
                      <a:cubicBezTo>
                        <a:pt x="109040" y="-41247"/>
                        <a:pt x="280883" y="27655"/>
                        <a:pt x="520065" y="0"/>
                      </a:cubicBezTo>
                      <a:cubicBezTo>
                        <a:pt x="759247" y="-27655"/>
                        <a:pt x="868552" y="27283"/>
                        <a:pt x="982345" y="0"/>
                      </a:cubicBezTo>
                      <a:cubicBezTo>
                        <a:pt x="1096138" y="-27283"/>
                        <a:pt x="1315268" y="51868"/>
                        <a:pt x="1444625" y="0"/>
                      </a:cubicBezTo>
                      <a:cubicBezTo>
                        <a:pt x="1573982" y="-51868"/>
                        <a:pt x="1761686" y="40135"/>
                        <a:pt x="1926167" y="0"/>
                      </a:cubicBezTo>
                      <a:cubicBezTo>
                        <a:pt x="1950423" y="134208"/>
                        <a:pt x="1908638" y="245399"/>
                        <a:pt x="1926167" y="417407"/>
                      </a:cubicBezTo>
                      <a:cubicBezTo>
                        <a:pt x="1943696" y="589415"/>
                        <a:pt x="1878880" y="654704"/>
                        <a:pt x="1926167" y="859367"/>
                      </a:cubicBezTo>
                      <a:cubicBezTo>
                        <a:pt x="1973454" y="1064030"/>
                        <a:pt x="1899527" y="1170424"/>
                        <a:pt x="1926167" y="1350433"/>
                      </a:cubicBezTo>
                      <a:cubicBezTo>
                        <a:pt x="1952807" y="1530442"/>
                        <a:pt x="1922854" y="1646892"/>
                        <a:pt x="1926167" y="1767840"/>
                      </a:cubicBezTo>
                      <a:cubicBezTo>
                        <a:pt x="1929480" y="1888788"/>
                        <a:pt x="1847067" y="2132228"/>
                        <a:pt x="1926167" y="2455333"/>
                      </a:cubicBezTo>
                      <a:cubicBezTo>
                        <a:pt x="1797893" y="2488401"/>
                        <a:pt x="1685828" y="2453438"/>
                        <a:pt x="1483149" y="2455333"/>
                      </a:cubicBezTo>
                      <a:cubicBezTo>
                        <a:pt x="1280470" y="2457228"/>
                        <a:pt x="1083755" y="2421047"/>
                        <a:pt x="963084" y="2455333"/>
                      </a:cubicBezTo>
                      <a:cubicBezTo>
                        <a:pt x="842414" y="2489619"/>
                        <a:pt x="653760" y="2445953"/>
                        <a:pt x="443018" y="2455333"/>
                      </a:cubicBezTo>
                      <a:cubicBezTo>
                        <a:pt x="232276" y="2464713"/>
                        <a:pt x="125053" y="2425626"/>
                        <a:pt x="0" y="2455333"/>
                      </a:cubicBezTo>
                      <a:cubicBezTo>
                        <a:pt x="-45760" y="2256420"/>
                        <a:pt x="1320" y="2101495"/>
                        <a:pt x="0" y="1988820"/>
                      </a:cubicBezTo>
                      <a:cubicBezTo>
                        <a:pt x="-1320" y="1876145"/>
                        <a:pt x="61588" y="1702943"/>
                        <a:pt x="0" y="1473200"/>
                      </a:cubicBezTo>
                      <a:cubicBezTo>
                        <a:pt x="-61588" y="1243457"/>
                        <a:pt x="36870" y="1170712"/>
                        <a:pt x="0" y="1055793"/>
                      </a:cubicBezTo>
                      <a:cubicBezTo>
                        <a:pt x="-36870" y="940874"/>
                        <a:pt x="33772" y="755972"/>
                        <a:pt x="0" y="515620"/>
                      </a:cubicBezTo>
                      <a:cubicBezTo>
                        <a:pt x="-33772" y="275268"/>
                        <a:pt x="28424" y="20193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t"/>
        <a:lstStyle/>
        <a:p>
          <a:pPr algn="l"/>
          <a:endParaRPr lang="el-GR" sz="1100"/>
        </a:p>
      </xdr:txBody>
    </xdr:sp>
    <xdr:clientData/>
  </xdr:twoCellAnchor>
  <xdr:twoCellAnchor>
    <xdr:from>
      <xdr:col>4</xdr:col>
      <xdr:colOff>137584</xdr:colOff>
      <xdr:row>0</xdr:row>
      <xdr:rowOff>179917</xdr:rowOff>
    </xdr:from>
    <xdr:to>
      <xdr:col>6</xdr:col>
      <xdr:colOff>571500</xdr:colOff>
      <xdr:row>13</xdr:row>
      <xdr:rowOff>21166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005667" y="179917"/>
          <a:ext cx="1661583" cy="2455332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 w="28575" cap="flat" cmpd="sng" algn="ctr">
          <a:solidFill>
            <a:schemeClr val="bg1">
              <a:lumMod val="50000"/>
            </a:schemeClr>
          </a:solidFill>
          <a:prstDash val="solid"/>
          <a:round/>
          <a:headEnd type="none" w="med" len="med"/>
          <a:tailEnd type="none" w="med" len="med"/>
          <a:extLst>
            <a:ext uri="{C807C97D-BFC1-408E-A445-0C87EB9F89A2}">
              <ask:lineSketchStyleProps xmlns:ask="http://schemas.microsoft.com/office/drawing/2018/sketchyshapes" sd="1548687692">
                <a:custGeom>
                  <a:avLst/>
                  <a:gdLst>
                    <a:gd name="connsiteX0" fmla="*/ 0 w 1703917"/>
                    <a:gd name="connsiteY0" fmla="*/ 0 h 2455332"/>
                    <a:gd name="connsiteX1" fmla="*/ 602051 w 1703917"/>
                    <a:gd name="connsiteY1" fmla="*/ 0 h 2455332"/>
                    <a:gd name="connsiteX2" fmla="*/ 1152984 w 1703917"/>
                    <a:gd name="connsiteY2" fmla="*/ 0 h 2455332"/>
                    <a:gd name="connsiteX3" fmla="*/ 1703917 w 1703917"/>
                    <a:gd name="connsiteY3" fmla="*/ 0 h 2455332"/>
                    <a:gd name="connsiteX4" fmla="*/ 1703917 w 1703917"/>
                    <a:gd name="connsiteY4" fmla="*/ 540173 h 2455332"/>
                    <a:gd name="connsiteX5" fmla="*/ 1703917 w 1703917"/>
                    <a:gd name="connsiteY5" fmla="*/ 1031239 h 2455332"/>
                    <a:gd name="connsiteX6" fmla="*/ 1703917 w 1703917"/>
                    <a:gd name="connsiteY6" fmla="*/ 1473199 h 2455332"/>
                    <a:gd name="connsiteX7" fmla="*/ 1703917 w 1703917"/>
                    <a:gd name="connsiteY7" fmla="*/ 1964266 h 2455332"/>
                    <a:gd name="connsiteX8" fmla="*/ 1703917 w 1703917"/>
                    <a:gd name="connsiteY8" fmla="*/ 2455332 h 2455332"/>
                    <a:gd name="connsiteX9" fmla="*/ 1187062 w 1703917"/>
                    <a:gd name="connsiteY9" fmla="*/ 2455332 h 2455332"/>
                    <a:gd name="connsiteX10" fmla="*/ 602051 w 1703917"/>
                    <a:gd name="connsiteY10" fmla="*/ 2455332 h 2455332"/>
                    <a:gd name="connsiteX11" fmla="*/ 0 w 1703917"/>
                    <a:gd name="connsiteY11" fmla="*/ 2455332 h 2455332"/>
                    <a:gd name="connsiteX12" fmla="*/ 0 w 1703917"/>
                    <a:gd name="connsiteY12" fmla="*/ 1915159 h 2455332"/>
                    <a:gd name="connsiteX13" fmla="*/ 0 w 1703917"/>
                    <a:gd name="connsiteY13" fmla="*/ 1473199 h 2455332"/>
                    <a:gd name="connsiteX14" fmla="*/ 0 w 1703917"/>
                    <a:gd name="connsiteY14" fmla="*/ 957579 h 2455332"/>
                    <a:gd name="connsiteX15" fmla="*/ 0 w 1703917"/>
                    <a:gd name="connsiteY15" fmla="*/ 441960 h 2455332"/>
                    <a:gd name="connsiteX16" fmla="*/ 0 w 1703917"/>
                    <a:gd name="connsiteY16" fmla="*/ 0 h 2455332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</a:cxnLst>
                  <a:rect l="l" t="t" r="r" b="b"/>
                  <a:pathLst>
                    <a:path w="1703917" h="2455332" extrusionOk="0">
                      <a:moveTo>
                        <a:pt x="0" y="0"/>
                      </a:moveTo>
                      <a:cubicBezTo>
                        <a:pt x="283993" y="-19084"/>
                        <a:pt x="363666" y="23528"/>
                        <a:pt x="602051" y="0"/>
                      </a:cubicBezTo>
                      <a:cubicBezTo>
                        <a:pt x="840436" y="-23528"/>
                        <a:pt x="1037220" y="25832"/>
                        <a:pt x="1152984" y="0"/>
                      </a:cubicBezTo>
                      <a:cubicBezTo>
                        <a:pt x="1268748" y="-25832"/>
                        <a:pt x="1564158" y="19394"/>
                        <a:pt x="1703917" y="0"/>
                      </a:cubicBezTo>
                      <a:cubicBezTo>
                        <a:pt x="1739169" y="131770"/>
                        <a:pt x="1695266" y="380723"/>
                        <a:pt x="1703917" y="540173"/>
                      </a:cubicBezTo>
                      <a:cubicBezTo>
                        <a:pt x="1712568" y="699623"/>
                        <a:pt x="1664070" y="892189"/>
                        <a:pt x="1703917" y="1031239"/>
                      </a:cubicBezTo>
                      <a:cubicBezTo>
                        <a:pt x="1743764" y="1170289"/>
                        <a:pt x="1656630" y="1268536"/>
                        <a:pt x="1703917" y="1473199"/>
                      </a:cubicBezTo>
                      <a:cubicBezTo>
                        <a:pt x="1751204" y="1677862"/>
                        <a:pt x="1685983" y="1781915"/>
                        <a:pt x="1703917" y="1964266"/>
                      </a:cubicBezTo>
                      <a:cubicBezTo>
                        <a:pt x="1721851" y="2146617"/>
                        <a:pt x="1697437" y="2352905"/>
                        <a:pt x="1703917" y="2455332"/>
                      </a:cubicBezTo>
                      <a:cubicBezTo>
                        <a:pt x="1486650" y="2485936"/>
                        <a:pt x="1296381" y="2430006"/>
                        <a:pt x="1187062" y="2455332"/>
                      </a:cubicBezTo>
                      <a:cubicBezTo>
                        <a:pt x="1077744" y="2480658"/>
                        <a:pt x="800787" y="2442658"/>
                        <a:pt x="602051" y="2455332"/>
                      </a:cubicBezTo>
                      <a:cubicBezTo>
                        <a:pt x="403315" y="2468006"/>
                        <a:pt x="132702" y="2383651"/>
                        <a:pt x="0" y="2455332"/>
                      </a:cubicBezTo>
                      <a:cubicBezTo>
                        <a:pt x="-36091" y="2322850"/>
                        <a:pt x="24439" y="2024827"/>
                        <a:pt x="0" y="1915159"/>
                      </a:cubicBezTo>
                      <a:cubicBezTo>
                        <a:pt x="-24439" y="1805491"/>
                        <a:pt x="39494" y="1589956"/>
                        <a:pt x="0" y="1473199"/>
                      </a:cubicBezTo>
                      <a:cubicBezTo>
                        <a:pt x="-39494" y="1356442"/>
                        <a:pt x="51173" y="1094875"/>
                        <a:pt x="0" y="957579"/>
                      </a:cubicBezTo>
                      <a:cubicBezTo>
                        <a:pt x="-51173" y="820283"/>
                        <a:pt x="3166" y="668433"/>
                        <a:pt x="0" y="441960"/>
                      </a:cubicBezTo>
                      <a:cubicBezTo>
                        <a:pt x="-3166" y="215487"/>
                        <a:pt x="8329" y="111587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t"/>
        <a:lstStyle/>
        <a:p>
          <a:pPr algn="l"/>
          <a:endParaRPr lang="el-G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327660</xdr:colOff>
          <xdr:row>4</xdr:row>
          <xdr:rowOff>60960</xdr:rowOff>
        </xdr:from>
        <xdr:to>
          <xdr:col>6</xdr:col>
          <xdr:colOff>518160</xdr:colOff>
          <xdr:row>6</xdr:row>
          <xdr:rowOff>137160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Delta Method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388620</xdr:colOff>
          <xdr:row>1</xdr:row>
          <xdr:rowOff>99060</xdr:rowOff>
        </xdr:from>
        <xdr:to>
          <xdr:col>6</xdr:col>
          <xdr:colOff>441960</xdr:colOff>
          <xdr:row>3</xdr:row>
          <xdr:rowOff>137160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Monthly Average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7</xdr:row>
          <xdr:rowOff>99060</xdr:rowOff>
        </xdr:from>
        <xdr:to>
          <xdr:col>6</xdr:col>
          <xdr:colOff>518160</xdr:colOff>
          <xdr:row>9</xdr:row>
          <xdr:rowOff>175260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Delta Method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Mean &amp; Variance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365760</xdr:colOff>
          <xdr:row>10</xdr:row>
          <xdr:rowOff>68580</xdr:rowOff>
        </xdr:from>
        <xdr:to>
          <xdr:col>6</xdr:col>
          <xdr:colOff>525780</xdr:colOff>
          <xdr:row>12</xdr:row>
          <xdr:rowOff>144780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Quantile G Mapping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731763</xdr:colOff>
      <xdr:row>21</xdr:row>
      <xdr:rowOff>37796</xdr:rowOff>
    </xdr:from>
    <xdr:to>
      <xdr:col>8</xdr:col>
      <xdr:colOff>585108</xdr:colOff>
      <xdr:row>35</xdr:row>
      <xdr:rowOff>178403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1763" y="4213556"/>
              <a:ext cx="5225445" cy="291428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hyperlink" Target="https://doi.org/10.1007/s11269-022-03392-x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C29E1-DB38-451B-8489-D2697331508A}">
  <sheetPr codeName="Sheet1"/>
  <dimension ref="A1:AB1561"/>
  <sheetViews>
    <sheetView tabSelected="1" zoomScale="70" zoomScaleNormal="70" workbookViewId="0">
      <selection activeCell="U2" sqref="U2:U1561"/>
    </sheetView>
  </sheetViews>
  <sheetFormatPr defaultRowHeight="15.6" x14ac:dyDescent="0.3"/>
  <cols>
    <col min="1" max="1" width="11.6640625" style="5" bestFit="1" customWidth="1"/>
    <col min="2" max="2" width="9.109375" style="6"/>
    <col min="3" max="3" width="12.88671875" style="5" bestFit="1" customWidth="1"/>
    <col min="4" max="4" width="9.109375" style="6"/>
    <col min="9" max="9" width="9.109375" customWidth="1"/>
    <col min="11" max="11" width="10.5546875" bestFit="1" customWidth="1"/>
    <col min="12" max="12" width="11.33203125" bestFit="1" customWidth="1"/>
    <col min="13" max="14" width="13.33203125" bestFit="1" customWidth="1"/>
    <col min="17" max="17" width="11.6640625" style="5" bestFit="1" customWidth="1"/>
    <col min="18" max="18" width="12" bestFit="1" customWidth="1"/>
    <col min="19" max="19" width="13" bestFit="1" customWidth="1"/>
    <col min="20" max="20" width="13.33203125" bestFit="1" customWidth="1"/>
    <col min="21" max="21" width="13.77734375" bestFit="1" customWidth="1"/>
  </cols>
  <sheetData>
    <row r="1" spans="1:28" x14ac:dyDescent="0.3">
      <c r="A1" s="2" t="s">
        <v>0</v>
      </c>
      <c r="B1" s="2" t="s">
        <v>1</v>
      </c>
      <c r="C1" s="2" t="s">
        <v>2</v>
      </c>
      <c r="D1" s="3" t="s">
        <v>3</v>
      </c>
      <c r="J1" s="2" t="s">
        <v>3</v>
      </c>
      <c r="K1" s="2" t="s">
        <v>7</v>
      </c>
      <c r="L1" s="2" t="s">
        <v>8</v>
      </c>
      <c r="M1" s="44" t="s">
        <v>9</v>
      </c>
      <c r="N1" s="45" t="s">
        <v>10</v>
      </c>
      <c r="O1" s="45" t="s">
        <v>11</v>
      </c>
      <c r="Q1" s="2" t="s">
        <v>0</v>
      </c>
      <c r="R1" s="44" t="s">
        <v>12</v>
      </c>
      <c r="S1" t="s">
        <v>15</v>
      </c>
      <c r="T1" t="s">
        <v>16</v>
      </c>
      <c r="U1" t="s">
        <v>17</v>
      </c>
      <c r="W1" s="16" t="s">
        <v>18</v>
      </c>
      <c r="X1" s="17"/>
      <c r="Y1" s="17"/>
      <c r="Z1" s="17"/>
      <c r="AA1" s="17"/>
      <c r="AB1" s="18"/>
    </row>
    <row r="2" spans="1:28" x14ac:dyDescent="0.3">
      <c r="A2" s="4">
        <v>25934</v>
      </c>
      <c r="B2" s="12">
        <v>159.02292009999999</v>
      </c>
      <c r="C2" s="12">
        <v>114.5727940485814</v>
      </c>
      <c r="D2" s="5">
        <f>MONTH(A2)</f>
        <v>1</v>
      </c>
      <c r="E2" s="9"/>
      <c r="F2" s="1"/>
      <c r="G2" s="1"/>
      <c r="J2" s="43">
        <v>1</v>
      </c>
      <c r="K2" s="7">
        <f>AVERAGEIF($D$2:$D$361,J2,$B$2:$B$361)</f>
        <v>162.51677912333332</v>
      </c>
      <c r="L2" s="7">
        <f>AVERAGEIF($D$2:$D$361,J2,$C$2:$C$361)</f>
        <v>118.19165630702629</v>
      </c>
      <c r="M2" cm="1">
        <f t="array" ref="M2">STDEV(IF($D$2:D$361=J2,B$2:B$361))</f>
        <v>97.703505686115193</v>
      </c>
      <c r="N2" cm="1">
        <f t="array" ref="N2">STDEV(IF($D$2:D$361=J2,C$2:C$361))</f>
        <v>54.452229018569682</v>
      </c>
      <c r="O2" s="7">
        <f>K2/L2</f>
        <v>1.3750275121042701</v>
      </c>
      <c r="Q2" s="4">
        <v>25934</v>
      </c>
      <c r="R2" s="7">
        <v>157.54074395545581</v>
      </c>
      <c r="S2" s="7">
        <v>149.66544345818559</v>
      </c>
      <c r="T2" s="8">
        <v>0.53486643932992239</v>
      </c>
      <c r="U2" s="7">
        <v>151.49909437609537</v>
      </c>
      <c r="W2" s="19"/>
      <c r="X2" s="20"/>
      <c r="Y2" s="20"/>
      <c r="Z2" s="20"/>
      <c r="AA2" s="20"/>
      <c r="AB2" s="21"/>
    </row>
    <row r="3" spans="1:28" x14ac:dyDescent="0.3">
      <c r="A3" s="4">
        <v>25965</v>
      </c>
      <c r="B3" s="12">
        <v>259.27815950000002</v>
      </c>
      <c r="C3" s="12">
        <v>127.48197675682611</v>
      </c>
      <c r="D3" s="5">
        <f t="shared" ref="D3:D66" si="0">MONTH(A3)</f>
        <v>2</v>
      </c>
      <c r="E3" s="10">
        <v>0</v>
      </c>
      <c r="F3" s="1"/>
      <c r="G3" s="1"/>
      <c r="J3" s="43">
        <v>2</v>
      </c>
      <c r="K3" s="7">
        <f t="shared" ref="K3:K13" si="1">AVERAGEIF($D$2:$D$361,J3,$B$2:$B$361)</f>
        <v>194.63131553666668</v>
      </c>
      <c r="L3" s="7">
        <f t="shared" ref="L3:L13" si="2">AVERAGEIF($D$2:$D$361,J3,$C$2:$C$361)</f>
        <v>99.595389457535944</v>
      </c>
      <c r="M3" cm="1">
        <f t="array" ref="M3">STDEV(IF($D$2:D$361=J3,B$2:B$361))</f>
        <v>85.256711792754515</v>
      </c>
      <c r="N3" cm="1">
        <f t="array" ref="N3">STDEV(IF($D$2:D$361=J3,C$2:C$361))</f>
        <v>55.718884518030443</v>
      </c>
      <c r="O3" s="7">
        <f t="shared" ref="O3:O13" si="3">K3/L3</f>
        <v>1.9542201360601215</v>
      </c>
      <c r="Q3" s="4">
        <v>25965</v>
      </c>
      <c r="R3" s="7">
        <v>249.12784596293798</v>
      </c>
      <c r="S3" s="7">
        <v>241.88455497534878</v>
      </c>
      <c r="T3" s="8">
        <v>0.74020433922917528</v>
      </c>
      <c r="U3" s="7">
        <v>240.42386182335699</v>
      </c>
      <c r="W3" s="19"/>
      <c r="X3" s="20"/>
      <c r="Y3" s="20"/>
      <c r="Z3" s="20"/>
      <c r="AA3" s="20"/>
      <c r="AB3" s="21"/>
    </row>
    <row r="4" spans="1:28" x14ac:dyDescent="0.3">
      <c r="A4" s="4">
        <v>25993</v>
      </c>
      <c r="B4" s="12">
        <v>248.2512285</v>
      </c>
      <c r="C4" s="12">
        <v>77.004123508231842</v>
      </c>
      <c r="D4" s="5">
        <f t="shared" si="0"/>
        <v>3</v>
      </c>
      <c r="E4" s="9"/>
      <c r="F4" s="1"/>
      <c r="G4" s="1"/>
      <c r="J4" s="43">
        <v>3</v>
      </c>
      <c r="K4" s="7">
        <f t="shared" si="1"/>
        <v>150.61646426000001</v>
      </c>
      <c r="L4" s="7">
        <f t="shared" si="2"/>
        <v>70.68103364581475</v>
      </c>
      <c r="M4" cm="1">
        <f t="array" ref="M4">STDEV(IF($D$2:D$361=J4,B$2:B$361))</f>
        <v>72.730065485723884</v>
      </c>
      <c r="N4" cm="1">
        <f t="array" ref="N4">STDEV(IF($D$2:D$361=J4,C$2:C$361))</f>
        <v>36.837399613564479</v>
      </c>
      <c r="O4" s="7">
        <f t="shared" si="3"/>
        <v>2.1309318283988974</v>
      </c>
      <c r="Q4" s="4">
        <v>25993</v>
      </c>
      <c r="R4" s="7">
        <v>164.09053770165099</v>
      </c>
      <c r="S4" s="7">
        <v>164.51579761786047</v>
      </c>
      <c r="T4" s="8">
        <v>0.63317397163547628</v>
      </c>
      <c r="U4" s="7">
        <v>164.06251224150682</v>
      </c>
      <c r="W4" s="19"/>
      <c r="X4" s="20"/>
      <c r="Y4" s="20"/>
      <c r="Z4" s="20"/>
      <c r="AA4" s="20"/>
      <c r="AB4" s="21"/>
    </row>
    <row r="5" spans="1:28" x14ac:dyDescent="0.3">
      <c r="A5" s="4">
        <v>26024</v>
      </c>
      <c r="B5" s="12">
        <v>83.710898</v>
      </c>
      <c r="C5" s="12">
        <v>101.07517219148575</v>
      </c>
      <c r="D5" s="5">
        <f t="shared" si="0"/>
        <v>4</v>
      </c>
      <c r="E5" s="9"/>
      <c r="F5" s="1"/>
      <c r="G5" s="1"/>
      <c r="J5" s="43">
        <v>4</v>
      </c>
      <c r="K5" s="7">
        <f t="shared" si="1"/>
        <v>141.13585477333334</v>
      </c>
      <c r="L5" s="7">
        <f t="shared" si="2"/>
        <v>74.944229850370874</v>
      </c>
      <c r="M5" cm="1">
        <f t="array" ref="M5">STDEV(IF($D$2:D$361=J5,B$2:B$361))</f>
        <v>72.234958400658968</v>
      </c>
      <c r="N5" cm="1">
        <f t="array" ref="N5">STDEV(IF($D$2:D$361=J5,C$2:C$361))</f>
        <v>34.235268077831726</v>
      </c>
      <c r="O5" s="7">
        <f t="shared" si="3"/>
        <v>1.8832117569973921</v>
      </c>
      <c r="Q5" s="4">
        <v>26024</v>
      </c>
      <c r="R5" s="7">
        <v>190.34595261154183</v>
      </c>
      <c r="S5" s="7">
        <v>194.97867727167969</v>
      </c>
      <c r="T5" s="8">
        <v>0.79903421617053805</v>
      </c>
      <c r="U5" s="7">
        <v>195.34180399133703</v>
      </c>
      <c r="W5" s="19"/>
      <c r="X5" s="20"/>
      <c r="Y5" s="20"/>
      <c r="Z5" s="20"/>
      <c r="AA5" s="20"/>
      <c r="AB5" s="21"/>
    </row>
    <row r="6" spans="1:28" x14ac:dyDescent="0.3">
      <c r="A6" s="4">
        <v>26054</v>
      </c>
      <c r="B6" s="12">
        <v>65.304975499999998</v>
      </c>
      <c r="C6" s="12">
        <v>36.661541741341395</v>
      </c>
      <c r="D6" s="5">
        <f t="shared" si="0"/>
        <v>5</v>
      </c>
      <c r="E6" s="11">
        <v>1</v>
      </c>
      <c r="F6" s="1"/>
      <c r="G6" s="1"/>
      <c r="J6" s="43">
        <v>5</v>
      </c>
      <c r="K6" s="7">
        <f t="shared" si="1"/>
        <v>105.80320943333332</v>
      </c>
      <c r="L6" s="7">
        <f t="shared" si="2"/>
        <v>62.266560321804718</v>
      </c>
      <c r="M6" cm="1">
        <f t="array" ref="M6">STDEV(IF($D$2:D$361=J6,B$2:B$361))</f>
        <v>61.04881643315526</v>
      </c>
      <c r="N6" cm="1">
        <f t="array" ref="N6">STDEV(IF($D$2:D$361=J6,C$2:C$361))</f>
        <v>41.486831379089104</v>
      </c>
      <c r="O6" s="7">
        <f t="shared" si="3"/>
        <v>1.6991979143624349</v>
      </c>
      <c r="Q6" s="4">
        <v>26054</v>
      </c>
      <c r="R6" s="7">
        <v>62.295215264198653</v>
      </c>
      <c r="S6" s="7">
        <v>69.531233539383209</v>
      </c>
      <c r="T6" s="8">
        <v>0.30907584107696945</v>
      </c>
      <c r="U6" s="7">
        <v>68.703411601304893</v>
      </c>
      <c r="W6" s="22"/>
      <c r="X6" s="23"/>
      <c r="Y6" s="23"/>
      <c r="Z6" s="23"/>
      <c r="AA6" s="23"/>
      <c r="AB6" s="24"/>
    </row>
    <row r="7" spans="1:28" ht="16.8" x14ac:dyDescent="0.3">
      <c r="A7" s="4">
        <v>26085</v>
      </c>
      <c r="B7" s="12">
        <v>24.193040199999999</v>
      </c>
      <c r="C7" s="12">
        <v>2.9251996020320714</v>
      </c>
      <c r="D7" s="5">
        <f t="shared" si="0"/>
        <v>6</v>
      </c>
      <c r="E7" s="9"/>
      <c r="F7" s="1"/>
      <c r="G7" s="1"/>
      <c r="J7" s="43">
        <v>6</v>
      </c>
      <c r="K7" s="7">
        <f t="shared" si="1"/>
        <v>30.421220816666665</v>
      </c>
      <c r="L7" s="7">
        <f t="shared" si="2"/>
        <v>30.025604749323502</v>
      </c>
      <c r="M7" cm="1">
        <f t="array" ref="M7">STDEV(IF($D$2:D$361=J7,B$2:B$361))</f>
        <v>23.415331545698418</v>
      </c>
      <c r="N7" cm="1">
        <f t="array" ref="N7">STDEV(IF($D$2:D$361=J7,C$2:C$361))</f>
        <v>38.568702076269268</v>
      </c>
      <c r="O7" s="7">
        <f t="shared" si="3"/>
        <v>1.013175956675846</v>
      </c>
      <c r="Q7" s="4">
        <v>26085</v>
      </c>
      <c r="R7" s="7">
        <v>2.963741905256648</v>
      </c>
      <c r="S7" s="7">
        <v>8.2281320219563181</v>
      </c>
      <c r="T7" s="8">
        <v>0.19688588747064617</v>
      </c>
      <c r="U7" s="7">
        <v>11.03927603344898</v>
      </c>
      <c r="W7" s="25" t="s">
        <v>4</v>
      </c>
      <c r="X7" s="26"/>
      <c r="Y7" s="26"/>
      <c r="Z7" s="26"/>
      <c r="AA7" s="26"/>
      <c r="AB7" s="27"/>
    </row>
    <row r="8" spans="1:28" x14ac:dyDescent="0.3">
      <c r="A8" s="4">
        <v>26115</v>
      </c>
      <c r="B8" s="12">
        <v>14.619989199999999</v>
      </c>
      <c r="C8" s="12">
        <v>2.0845686662141816</v>
      </c>
      <c r="D8" s="5">
        <f t="shared" si="0"/>
        <v>7</v>
      </c>
      <c r="E8" s="9"/>
      <c r="F8" s="1"/>
      <c r="G8" s="1"/>
      <c r="J8" s="43">
        <v>7</v>
      </c>
      <c r="K8" s="7">
        <f t="shared" si="1"/>
        <v>25.943975779999999</v>
      </c>
      <c r="L8" s="7">
        <f t="shared" si="2"/>
        <v>7.1694448185121438</v>
      </c>
      <c r="M8" cm="1">
        <f t="array" ref="M8">STDEV(IF($D$2:D$361=J8,B$2:B$361))</f>
        <v>22.577188756187905</v>
      </c>
      <c r="N8" cm="1">
        <f t="array" ref="N8">STDEV(IF($D$2:D$361=J8,C$2:C$361))</f>
        <v>8.8986100706415652</v>
      </c>
      <c r="O8" s="7">
        <f t="shared" si="3"/>
        <v>3.6186868630344078</v>
      </c>
      <c r="Q8" s="4">
        <v>26115</v>
      </c>
      <c r="R8" s="7">
        <v>7.5434012475224161</v>
      </c>
      <c r="S8" s="7">
        <v>11.868231490396827</v>
      </c>
      <c r="T8" s="8">
        <v>0.35005441348563271</v>
      </c>
      <c r="U8" s="7">
        <v>13.303452454566566</v>
      </c>
    </row>
    <row r="9" spans="1:28" x14ac:dyDescent="0.3">
      <c r="A9" s="4">
        <v>26146</v>
      </c>
      <c r="B9" s="12">
        <v>39.7721181</v>
      </c>
      <c r="C9" s="12">
        <v>4.0524452964461493E-9</v>
      </c>
      <c r="D9" s="5">
        <f t="shared" si="0"/>
        <v>8</v>
      </c>
      <c r="E9" s="11">
        <v>2</v>
      </c>
      <c r="F9" s="1"/>
      <c r="G9" s="1"/>
      <c r="J9" s="43">
        <v>8</v>
      </c>
      <c r="K9" s="7">
        <f t="shared" si="1"/>
        <v>32.687620620000004</v>
      </c>
      <c r="L9" s="7">
        <f t="shared" si="2"/>
        <v>6.010056129000608</v>
      </c>
      <c r="M9" cm="1">
        <f t="array" ref="M9">STDEV(IF($D$2:D$361=J9,B$2:B$361))</f>
        <v>23.873321410233228</v>
      </c>
      <c r="N9" cm="1">
        <f t="array" ref="N9">STDEV(IF($D$2:D$361=J9,C$2:C$361))</f>
        <v>8.2202443544130404</v>
      </c>
      <c r="O9" s="7">
        <f t="shared" si="3"/>
        <v>5.4388211887524447</v>
      </c>
      <c r="Q9" s="4">
        <v>26146</v>
      </c>
      <c r="R9" s="7">
        <v>2.20405253445715E-8</v>
      </c>
      <c r="S9" s="7">
        <v>0.11383253119705139</v>
      </c>
      <c r="T9" s="8">
        <v>1.0088524913690089E-5</v>
      </c>
      <c r="U9" s="7">
        <v>5.1453775808825153E-2</v>
      </c>
    </row>
    <row r="10" spans="1:28" x14ac:dyDescent="0.3">
      <c r="A10" s="4">
        <v>26177</v>
      </c>
      <c r="B10" s="12">
        <v>64.986418599999993</v>
      </c>
      <c r="C10" s="12">
        <v>1.474137850891567</v>
      </c>
      <c r="D10" s="5">
        <f t="shared" si="0"/>
        <v>9</v>
      </c>
      <c r="E10" s="9"/>
      <c r="F10" s="1"/>
      <c r="G10" s="1"/>
      <c r="J10" s="43">
        <v>9</v>
      </c>
      <c r="K10" s="7">
        <f t="shared" si="1"/>
        <v>59.140998129999993</v>
      </c>
      <c r="L10" s="7">
        <f t="shared" si="2"/>
        <v>17.649626060789149</v>
      </c>
      <c r="M10" cm="1">
        <f t="array" ref="M10">STDEV(IF($D$2:D$361=J10,B$2:B$361))</f>
        <v>46.106812427176379</v>
      </c>
      <c r="N10" cm="1">
        <f t="array" ref="N10">STDEV(IF($D$2:D$361=J10,C$2:C$361))</f>
        <v>21.159526738329795</v>
      </c>
      <c r="O10" s="7">
        <f t="shared" si="3"/>
        <v>3.3508357585767277</v>
      </c>
      <c r="Q10" s="4">
        <v>26177</v>
      </c>
      <c r="R10" s="7">
        <v>4.9395938238389112</v>
      </c>
      <c r="S10" s="7">
        <v>14.83137187569946</v>
      </c>
      <c r="T10" s="8">
        <v>0.14856757397520595</v>
      </c>
      <c r="U10" s="7">
        <v>17.05002390440939</v>
      </c>
      <c r="X10" s="28" t="s">
        <v>5</v>
      </c>
      <c r="Y10" s="29"/>
      <c r="Z10" s="30"/>
    </row>
    <row r="11" spans="1:28" x14ac:dyDescent="0.3">
      <c r="A11" s="4">
        <v>26207</v>
      </c>
      <c r="B11" s="12">
        <v>105.70541179999999</v>
      </c>
      <c r="C11" s="12">
        <v>50.867444841423939</v>
      </c>
      <c r="D11" s="5">
        <f t="shared" si="0"/>
        <v>10</v>
      </c>
      <c r="E11" s="9"/>
      <c r="F11" s="1"/>
      <c r="G11" s="1"/>
      <c r="J11" s="43">
        <v>10</v>
      </c>
      <c r="K11" s="7">
        <f t="shared" si="1"/>
        <v>170.94393344666665</v>
      </c>
      <c r="L11" s="7">
        <f t="shared" si="2"/>
        <v>69.647447896418257</v>
      </c>
      <c r="M11" cm="1">
        <f t="array" ref="M11">STDEV(IF($D$2:D$361=J11,B$2:B$361))</f>
        <v>91.250601936321019</v>
      </c>
      <c r="N11" cm="1">
        <f t="array" ref="N11">STDEV(IF($D$2:D$361=J11,C$2:C$361))</f>
        <v>63.105804529614936</v>
      </c>
      <c r="O11" s="7">
        <f t="shared" si="3"/>
        <v>2.4544177656143198</v>
      </c>
      <c r="Q11" s="4">
        <v>26207</v>
      </c>
      <c r="R11" s="7">
        <v>124.8499603101974</v>
      </c>
      <c r="S11" s="7">
        <v>156.61486672723601</v>
      </c>
      <c r="T11" s="8">
        <v>0.49302682586254371</v>
      </c>
      <c r="U11" s="7">
        <v>153.50986152923656</v>
      </c>
      <c r="X11" s="31"/>
      <c r="Y11" s="32"/>
      <c r="Z11" s="33"/>
    </row>
    <row r="12" spans="1:28" x14ac:dyDescent="0.3">
      <c r="A12" s="4">
        <v>26238</v>
      </c>
      <c r="B12" s="12">
        <v>251.67476869999999</v>
      </c>
      <c r="C12" s="12">
        <v>101.17522068321692</v>
      </c>
      <c r="D12" s="5">
        <f t="shared" si="0"/>
        <v>11</v>
      </c>
      <c r="E12" s="11">
        <v>3</v>
      </c>
      <c r="F12" s="1"/>
      <c r="G12" s="1"/>
      <c r="J12" s="43">
        <v>11</v>
      </c>
      <c r="K12" s="7">
        <f t="shared" si="1"/>
        <v>206.72072898666664</v>
      </c>
      <c r="L12" s="7">
        <f t="shared" si="2"/>
        <v>95.380582286452409</v>
      </c>
      <c r="M12" cm="1">
        <f t="array" ref="M12">STDEV(IF($D$2:D$361=J12,B$2:B$361))</f>
        <v>78.730307685957996</v>
      </c>
      <c r="N12" cm="1">
        <f t="array" ref="N12">STDEV(IF($D$2:D$361=J12,C$2:C$361))</f>
        <v>56.936040989353288</v>
      </c>
      <c r="O12" s="7">
        <f t="shared" si="3"/>
        <v>2.1673250889350952</v>
      </c>
      <c r="Q12" s="4">
        <v>26238</v>
      </c>
      <c r="R12" s="7">
        <v>219.279594165281</v>
      </c>
      <c r="S12" s="7">
        <v>224.0639479754561</v>
      </c>
      <c r="T12" s="8">
        <v>0.61761447185665863</v>
      </c>
      <c r="U12" s="7">
        <v>220.60425484574478</v>
      </c>
      <c r="X12" s="31"/>
      <c r="Y12" s="32"/>
      <c r="Z12" s="33"/>
    </row>
    <row r="13" spans="1:28" x14ac:dyDescent="0.3">
      <c r="A13" s="4">
        <v>26268</v>
      </c>
      <c r="B13" s="12">
        <v>144.34891440000001</v>
      </c>
      <c r="C13" s="12">
        <v>50.861106393858762</v>
      </c>
      <c r="D13" s="5">
        <f t="shared" si="0"/>
        <v>12</v>
      </c>
      <c r="E13" s="1"/>
      <c r="F13" s="1"/>
      <c r="G13" s="1"/>
      <c r="J13" s="43">
        <v>12</v>
      </c>
      <c r="K13" s="7">
        <f t="shared" si="1"/>
        <v>231.97192966666668</v>
      </c>
      <c r="L13" s="7">
        <f t="shared" si="2"/>
        <v>109.9531193394796</v>
      </c>
      <c r="M13" cm="1">
        <f t="array" ref="M13">STDEV(IF($D$2:D$361=J13,B$2:B$361))</f>
        <v>97.190903188258048</v>
      </c>
      <c r="N13" cm="1">
        <f t="array" ref="N13">STDEV(IF($D$2:D$361=J13,C$2:C$361))</f>
        <v>53.25897144000205</v>
      </c>
      <c r="O13" s="7">
        <f t="shared" si="3"/>
        <v>2.1097348675525498</v>
      </c>
      <c r="Q13" s="4">
        <v>26268</v>
      </c>
      <c r="R13" s="7">
        <v>107.30344956142376</v>
      </c>
      <c r="S13" s="7">
        <v>123.34283442880951</v>
      </c>
      <c r="T13" s="8">
        <v>0.10746396422793582</v>
      </c>
      <c r="U13" s="7">
        <v>121.93282718302116</v>
      </c>
      <c r="X13" s="31"/>
      <c r="Y13" s="32"/>
      <c r="Z13" s="33"/>
    </row>
    <row r="14" spans="1:28" x14ac:dyDescent="0.3">
      <c r="A14" s="4">
        <v>26299</v>
      </c>
      <c r="B14" s="12">
        <v>226.66548710000001</v>
      </c>
      <c r="C14" s="12">
        <v>142.65698874369266</v>
      </c>
      <c r="D14" s="5">
        <f t="shared" si="0"/>
        <v>1</v>
      </c>
      <c r="Q14" s="4">
        <v>26299</v>
      </c>
      <c r="R14" s="7">
        <v>196.15728431652659</v>
      </c>
      <c r="S14" s="7">
        <v>199.8419466462035</v>
      </c>
      <c r="T14" s="8">
        <v>0.71681784631861922</v>
      </c>
      <c r="U14" s="7">
        <v>201.98267413459169</v>
      </c>
      <c r="X14" s="34"/>
      <c r="Y14" s="35"/>
      <c r="Z14" s="36"/>
    </row>
    <row r="15" spans="1:28" x14ac:dyDescent="0.3">
      <c r="A15" s="4">
        <v>26330</v>
      </c>
      <c r="B15" s="12">
        <v>163.05918790000001</v>
      </c>
      <c r="C15" s="12">
        <v>107.45882671326399</v>
      </c>
      <c r="D15" s="5">
        <f t="shared" si="0"/>
        <v>2</v>
      </c>
      <c r="J15" s="2" t="s">
        <v>3</v>
      </c>
      <c r="K15" s="43" t="s">
        <v>13</v>
      </c>
      <c r="L15" s="43" t="s">
        <v>14</v>
      </c>
      <c r="Q15" s="4">
        <v>26330</v>
      </c>
      <c r="R15" s="7">
        <v>209.99820296045576</v>
      </c>
      <c r="S15" s="7">
        <v>211.90189885384419</v>
      </c>
      <c r="T15" s="8">
        <v>0.6270665282575596</v>
      </c>
      <c r="U15" s="7">
        <v>210.23985325388236</v>
      </c>
    </row>
    <row r="16" spans="1:28" ht="15.75" customHeight="1" x14ac:dyDescent="0.3">
      <c r="A16" s="4">
        <v>26359</v>
      </c>
      <c r="B16" s="12">
        <v>158.24643040000001</v>
      </c>
      <c r="C16" s="12">
        <v>34.76591962098599</v>
      </c>
      <c r="D16" s="5">
        <f t="shared" si="0"/>
        <v>3</v>
      </c>
      <c r="E16" s="37" t="s">
        <v>6</v>
      </c>
      <c r="F16" s="38"/>
      <c r="G16" s="39"/>
      <c r="J16" s="43">
        <v>1</v>
      </c>
      <c r="K16" s="7">
        <v>1.3188013100568701</v>
      </c>
      <c r="L16" s="7">
        <v>0.28813907096122554</v>
      </c>
      <c r="Q16" s="4">
        <v>26359</v>
      </c>
      <c r="R16" s="7">
        <v>74.08380466391678</v>
      </c>
      <c r="S16" s="7">
        <v>78.938494420111923</v>
      </c>
      <c r="T16" s="8">
        <v>0.15043239472179204</v>
      </c>
      <c r="U16" s="7">
        <v>79.148863265916617</v>
      </c>
      <c r="W16" cm="1">
        <f t="array" ref="W16">1 - SUMPRODUCT((B2:B361 -R2:R361)^2) / SUMPRODUCT((B2:B361-W17)^2)</f>
        <v>-0.37532655900662815</v>
      </c>
      <c r="X16" cm="1">
        <f t="array" ref="X16">1 - SUMPRODUCT((B2:B361 -S2:S361)^2) / SUMPRODUCT((B2:B361-W17)^2)</f>
        <v>-6.2332594090148463E-2</v>
      </c>
      <c r="Y16" cm="1">
        <f t="array" ref="Y16">1 - SUMPRODUCT((B2:B361 -U2:U361)^2) / SUMPRODUCT((B2:B361-W17)^2)</f>
        <v>-6.7935421800907614E-2</v>
      </c>
    </row>
    <row r="17" spans="1:23" x14ac:dyDescent="0.3">
      <c r="A17" s="4">
        <v>26390</v>
      </c>
      <c r="B17" s="12">
        <v>277.81346819999999</v>
      </c>
      <c r="C17" s="12">
        <v>73.235439369455023</v>
      </c>
      <c r="D17" s="5">
        <f t="shared" si="0"/>
        <v>4</v>
      </c>
      <c r="E17" s="40"/>
      <c r="F17" s="41"/>
      <c r="G17" s="42"/>
      <c r="J17" s="43">
        <v>2</v>
      </c>
      <c r="K17" s="7">
        <v>0.77450276024147802</v>
      </c>
      <c r="L17" s="7">
        <v>5.6615094895251188</v>
      </c>
      <c r="Q17" s="4">
        <v>26390</v>
      </c>
      <c r="R17" s="7">
        <v>137.91784044942736</v>
      </c>
      <c r="S17" s="7">
        <v>135.42700827453953</v>
      </c>
      <c r="T17" s="8">
        <v>0.54099591539413483</v>
      </c>
      <c r="U17" s="7">
        <v>136.2042477134338</v>
      </c>
      <c r="W17" s="14">
        <f>AVERAGE(B2:B361)</f>
        <v>126.04450254777774</v>
      </c>
    </row>
    <row r="18" spans="1:23" x14ac:dyDescent="0.3">
      <c r="A18" s="4">
        <v>26420</v>
      </c>
      <c r="B18" s="12">
        <v>80.799814400000002</v>
      </c>
      <c r="C18" s="12">
        <v>16.649727855110545</v>
      </c>
      <c r="D18" s="5">
        <f t="shared" si="0"/>
        <v>5</v>
      </c>
      <c r="J18" s="43">
        <v>3</v>
      </c>
      <c r="K18" s="7">
        <v>0.92343794364744525</v>
      </c>
      <c r="L18" s="7">
        <v>2.9794013846633525</v>
      </c>
      <c r="Q18" s="4">
        <v>26420</v>
      </c>
      <c r="R18" s="7">
        <v>28.291182846105976</v>
      </c>
      <c r="S18" s="7">
        <v>35.638885813727896</v>
      </c>
      <c r="T18" s="8">
        <v>8.305788428144785E-2</v>
      </c>
      <c r="U18" s="7">
        <v>35.823593909482042</v>
      </c>
    </row>
    <row r="19" spans="1:23" x14ac:dyDescent="0.3">
      <c r="A19" s="4">
        <v>26451</v>
      </c>
      <c r="B19" s="12">
        <v>21.379026100000001</v>
      </c>
      <c r="C19" s="12">
        <v>9.2837421252625134</v>
      </c>
      <c r="D19" s="5">
        <f t="shared" si="0"/>
        <v>6</v>
      </c>
      <c r="J19" s="43">
        <v>4</v>
      </c>
      <c r="K19" s="7">
        <v>1.1312050969775171</v>
      </c>
      <c r="L19" s="7">
        <v>1.0527446796325133</v>
      </c>
      <c r="Q19" s="4">
        <v>26451</v>
      </c>
      <c r="R19" s="7">
        <v>9.4060643092946989</v>
      </c>
      <c r="S19" s="7">
        <v>16.889422845404351</v>
      </c>
      <c r="T19" s="8">
        <v>0.37824463153542603</v>
      </c>
      <c r="U19" s="7">
        <v>18.820649208784349</v>
      </c>
      <c r="W19" s="7">
        <v>1</v>
      </c>
    </row>
    <row r="20" spans="1:23" x14ac:dyDescent="0.3">
      <c r="A20" s="4">
        <v>26481</v>
      </c>
      <c r="B20" s="12">
        <v>70.4706458</v>
      </c>
      <c r="C20" s="12">
        <v>4.4374081062414943</v>
      </c>
      <c r="D20" s="5">
        <f t="shared" si="0"/>
        <v>7</v>
      </c>
      <c r="J20" s="43">
        <v>5</v>
      </c>
      <c r="K20" s="7">
        <v>0.84671172785014437</v>
      </c>
      <c r="L20" s="7">
        <v>3.2941575689394469</v>
      </c>
      <c r="Q20" s="4">
        <v>26481</v>
      </c>
      <c r="R20" s="7">
        <v>16.057590419978485</v>
      </c>
      <c r="S20" s="7">
        <v>20.515129409398796</v>
      </c>
      <c r="T20" s="8">
        <v>0.5285892301334798</v>
      </c>
      <c r="U20" s="7">
        <v>21.173378309725269</v>
      </c>
      <c r="W20" s="7">
        <v>1</v>
      </c>
    </row>
    <row r="21" spans="1:23" x14ac:dyDescent="0.3">
      <c r="A21" s="4">
        <v>26512</v>
      </c>
      <c r="B21" s="12">
        <v>36.455129900000003</v>
      </c>
      <c r="C21" s="12">
        <v>6.8815912563877717</v>
      </c>
      <c r="D21" s="5">
        <f t="shared" si="0"/>
        <v>8</v>
      </c>
      <c r="J21" s="43">
        <v>6</v>
      </c>
      <c r="K21" s="7">
        <v>0.62267495064607781</v>
      </c>
      <c r="L21" s="7">
        <v>4.2173330071297901</v>
      </c>
      <c r="Q21" s="4">
        <v>26512</v>
      </c>
      <c r="R21" s="7">
        <v>37.427744337575369</v>
      </c>
      <c r="S21" s="7">
        <v>48.121255228475661</v>
      </c>
      <c r="T21" s="8">
        <v>0.71140893636252733</v>
      </c>
      <c r="U21" s="7">
        <v>40.827151283502332</v>
      </c>
      <c r="W21" s="15">
        <f>W19+W20</f>
        <v>2</v>
      </c>
    </row>
    <row r="22" spans="1:23" x14ac:dyDescent="0.3">
      <c r="A22" s="4">
        <v>26543</v>
      </c>
      <c r="B22" s="12">
        <v>47.932856700000002</v>
      </c>
      <c r="C22" s="12">
        <v>6.7949810836580591</v>
      </c>
      <c r="D22" s="5">
        <f t="shared" si="0"/>
        <v>9</v>
      </c>
      <c r="J22" s="43">
        <v>7</v>
      </c>
      <c r="K22" s="7">
        <v>0.72440936887297402</v>
      </c>
      <c r="L22" s="7">
        <v>6.9708811869218401</v>
      </c>
      <c r="Q22" s="4">
        <v>26543</v>
      </c>
      <c r="R22" s="7">
        <v>22.768865593973867</v>
      </c>
      <c r="S22" s="7">
        <v>38.198071482678301</v>
      </c>
      <c r="T22" s="8">
        <v>0.39592183868685987</v>
      </c>
      <c r="U22" s="7">
        <v>37.796072808939705</v>
      </c>
      <c r="W22">
        <f>W19/W20</f>
        <v>1</v>
      </c>
    </row>
    <row r="23" spans="1:23" x14ac:dyDescent="0.3">
      <c r="A23" s="4">
        <v>26573</v>
      </c>
      <c r="B23" s="12">
        <v>275.9363204</v>
      </c>
      <c r="C23" s="12">
        <v>4.0461322911141808</v>
      </c>
      <c r="D23" s="5">
        <f t="shared" si="0"/>
        <v>10</v>
      </c>
      <c r="J23" s="43">
        <v>8</v>
      </c>
      <c r="K23" s="7">
        <v>0.28451555823849212</v>
      </c>
      <c r="L23" s="7">
        <v>27.797224193090212</v>
      </c>
      <c r="Q23" s="4">
        <v>26573</v>
      </c>
      <c r="R23" s="7">
        <v>9.9308989773364154</v>
      </c>
      <c r="S23" s="7">
        <v>36.454153983804432</v>
      </c>
      <c r="T23" s="8">
        <v>3.4338166785758233E-2</v>
      </c>
      <c r="U23" s="7">
        <v>46.270622525545775</v>
      </c>
    </row>
    <row r="24" spans="1:23" x14ac:dyDescent="0.3">
      <c r="A24" s="4">
        <v>26604</v>
      </c>
      <c r="B24" s="12">
        <v>94.439412599999997</v>
      </c>
      <c r="C24" s="12">
        <v>31.859091395744951</v>
      </c>
      <c r="D24" s="5">
        <f t="shared" si="0"/>
        <v>11</v>
      </c>
      <c r="J24" s="43">
        <v>9</v>
      </c>
      <c r="K24" s="7">
        <v>0.61909141430734427</v>
      </c>
      <c r="L24" s="7">
        <v>11.66382070720586</v>
      </c>
      <c r="Q24" s="4">
        <v>26604</v>
      </c>
      <c r="R24" s="7">
        <v>69.049008092674256</v>
      </c>
      <c r="S24" s="7">
        <v>111.98960349151152</v>
      </c>
      <c r="T24" s="8">
        <v>9.0000908988163333E-2</v>
      </c>
      <c r="U24" s="7">
        <v>111.30600124166884</v>
      </c>
    </row>
    <row r="25" spans="1:23" x14ac:dyDescent="0.3">
      <c r="A25" s="4">
        <v>26634</v>
      </c>
      <c r="B25" s="12">
        <v>100.87269499999999</v>
      </c>
      <c r="C25" s="12">
        <v>86.572855396661808</v>
      </c>
      <c r="D25" s="5">
        <f t="shared" si="0"/>
        <v>12</v>
      </c>
      <c r="J25" s="43">
        <v>10</v>
      </c>
      <c r="K25" s="7">
        <v>0.57584687194501594</v>
      </c>
      <c r="L25" s="7">
        <v>16.299898255427319</v>
      </c>
      <c r="Q25" s="4">
        <v>26634</v>
      </c>
      <c r="R25" s="7">
        <v>182.64577161392234</v>
      </c>
      <c r="S25" s="7">
        <v>192.92051381937836</v>
      </c>
      <c r="T25" s="8">
        <v>0.37850516262368883</v>
      </c>
      <c r="U25" s="7">
        <v>190.79136822350674</v>
      </c>
    </row>
    <row r="26" spans="1:23" x14ac:dyDescent="0.3">
      <c r="A26" s="4">
        <v>26665</v>
      </c>
      <c r="B26" s="12">
        <v>126.56211570000001</v>
      </c>
      <c r="C26" s="12">
        <v>77.339958917582479</v>
      </c>
      <c r="D26" s="5">
        <f t="shared" si="0"/>
        <v>1</v>
      </c>
      <c r="J26" s="43">
        <v>11</v>
      </c>
      <c r="K26" s="7">
        <v>0.60017896550511829</v>
      </c>
      <c r="L26" s="7">
        <v>14.027124401045521</v>
      </c>
      <c r="Q26" s="4">
        <v>26665</v>
      </c>
      <c r="R26" s="7">
        <v>106.34457129668989</v>
      </c>
      <c r="S26" s="7">
        <v>89.131607190731316</v>
      </c>
      <c r="T26" s="8">
        <v>0.24174496160227199</v>
      </c>
      <c r="U26" s="7">
        <v>88.966233189279365</v>
      </c>
    </row>
    <row r="27" spans="1:23" x14ac:dyDescent="0.3">
      <c r="A27" s="4">
        <v>26696</v>
      </c>
      <c r="B27" s="12">
        <v>219.97909089999999</v>
      </c>
      <c r="C27" s="12">
        <v>24.852998368442119</v>
      </c>
      <c r="D27" s="5">
        <f t="shared" si="0"/>
        <v>2</v>
      </c>
      <c r="J27" s="43">
        <v>12</v>
      </c>
      <c r="K27" s="7">
        <v>0.84098658505701052</v>
      </c>
      <c r="L27" s="7">
        <v>4.5296678237510779</v>
      </c>
      <c r="Q27" s="4">
        <v>26696</v>
      </c>
      <c r="R27" s="7">
        <v>48.568229853078932</v>
      </c>
      <c r="S27" s="7">
        <v>68.179995000333292</v>
      </c>
      <c r="T27" s="8">
        <v>3.4684513234232398E-2</v>
      </c>
      <c r="U27" s="7">
        <v>71.004826885799218</v>
      </c>
    </row>
    <row r="28" spans="1:23" x14ac:dyDescent="0.3">
      <c r="A28" s="4">
        <v>26724</v>
      </c>
      <c r="B28" s="12">
        <v>221.57449120000001</v>
      </c>
      <c r="C28" s="12">
        <v>78.213812084868636</v>
      </c>
      <c r="D28" s="5">
        <f t="shared" si="0"/>
        <v>3</v>
      </c>
      <c r="Q28" s="4">
        <v>26724</v>
      </c>
      <c r="R28" s="7">
        <v>166.66830159205691</v>
      </c>
      <c r="S28" s="7">
        <v>166.90094451007914</v>
      </c>
      <c r="T28" s="8">
        <v>0.64464658799589736</v>
      </c>
      <c r="U28" s="7">
        <v>166.44725811778244</v>
      </c>
    </row>
    <row r="29" spans="1:23" x14ac:dyDescent="0.3">
      <c r="A29" s="4">
        <v>26755</v>
      </c>
      <c r="B29" s="12">
        <v>57.167225799999997</v>
      </c>
      <c r="C29" s="12">
        <v>31.114699027966683</v>
      </c>
      <c r="D29" s="5">
        <f t="shared" si="0"/>
        <v>4</v>
      </c>
      <c r="J29" t="s">
        <v>3</v>
      </c>
      <c r="K29" t="s">
        <v>19</v>
      </c>
      <c r="L29" t="s">
        <v>20</v>
      </c>
      <c r="M29" t="s">
        <v>21</v>
      </c>
      <c r="N29" t="s">
        <v>22</v>
      </c>
      <c r="Q29" s="4">
        <v>26755</v>
      </c>
      <c r="R29" s="7">
        <v>58.595567024902188</v>
      </c>
      <c r="S29" s="7">
        <v>51.424888246614543</v>
      </c>
      <c r="T29" s="8">
        <v>6.4586128689387914E-2</v>
      </c>
      <c r="U29" s="7">
        <v>51.057302584263283</v>
      </c>
    </row>
    <row r="30" spans="1:23" x14ac:dyDescent="0.3">
      <c r="A30" s="4">
        <v>26785</v>
      </c>
      <c r="B30" s="12">
        <v>52.720329100000001</v>
      </c>
      <c r="C30" s="12">
        <v>15.006448783969967</v>
      </c>
      <c r="D30" s="5">
        <f t="shared" si="0"/>
        <v>5</v>
      </c>
      <c r="J30" s="43">
        <v>1</v>
      </c>
      <c r="K30" s="7">
        <v>58.738396581883663</v>
      </c>
      <c r="L30" s="7">
        <v>2.7667895036388757</v>
      </c>
      <c r="M30" s="7">
        <v>25.086756017603037</v>
      </c>
      <c r="N30" s="7">
        <v>4.7113168487823938</v>
      </c>
      <c r="Q30" s="4">
        <v>26785</v>
      </c>
      <c r="R30" s="7">
        <v>25.498926475708465</v>
      </c>
      <c r="S30" s="7">
        <v>32.637184585458421</v>
      </c>
      <c r="T30" s="8">
        <v>6.8364718214666373E-2</v>
      </c>
      <c r="U30" s="7">
        <v>32.928726127960928</v>
      </c>
    </row>
    <row r="31" spans="1:23" x14ac:dyDescent="0.3">
      <c r="A31" s="4">
        <v>26816</v>
      </c>
      <c r="B31" s="12">
        <v>18.868248399999999</v>
      </c>
      <c r="C31" s="12">
        <v>62.111791572533626</v>
      </c>
      <c r="D31" s="5">
        <f t="shared" si="0"/>
        <v>6</v>
      </c>
      <c r="J31" s="43">
        <v>2</v>
      </c>
      <c r="K31" s="7">
        <v>37.346029777738678</v>
      </c>
      <c r="L31" s="7">
        <v>5.2115664421357861</v>
      </c>
      <c r="M31" s="7">
        <v>31.172066386238743</v>
      </c>
      <c r="N31" s="7">
        <v>3.195020446302637</v>
      </c>
      <c r="Q31" s="4">
        <v>26816</v>
      </c>
      <c r="R31" s="7">
        <v>62.930173847352506</v>
      </c>
      <c r="S31" s="7">
        <v>55.157231806219976</v>
      </c>
      <c r="T31" s="8">
        <v>0.85372878554900433</v>
      </c>
      <c r="U31" s="7">
        <v>53.377845459624275</v>
      </c>
    </row>
    <row r="32" spans="1:23" x14ac:dyDescent="0.3">
      <c r="A32" s="4">
        <v>26846</v>
      </c>
      <c r="B32" s="12">
        <v>36.836727199999999</v>
      </c>
      <c r="C32" s="12">
        <v>2.5153253423923174</v>
      </c>
      <c r="D32" s="5">
        <f t="shared" si="0"/>
        <v>7</v>
      </c>
      <c r="J32" s="43">
        <v>3</v>
      </c>
      <c r="K32" s="7">
        <v>35.120081005397012</v>
      </c>
      <c r="L32" s="7">
        <v>4.2886138057840562</v>
      </c>
      <c r="M32" s="7">
        <v>19.198842182888654</v>
      </c>
      <c r="N32" s="7">
        <v>3.6815258426787119</v>
      </c>
      <c r="Q32" s="4">
        <v>26846</v>
      </c>
      <c r="R32" s="7">
        <v>9.102174772772603</v>
      </c>
      <c r="S32" s="7">
        <v>13.598213259189432</v>
      </c>
      <c r="T32" s="8">
        <v>0.38970531715030393</v>
      </c>
      <c r="U32" s="7">
        <v>14.8921270995382</v>
      </c>
    </row>
    <row r="33" spans="1:21" x14ac:dyDescent="0.3">
      <c r="A33" s="4">
        <v>26877</v>
      </c>
      <c r="B33" s="12">
        <v>47.116242999999997</v>
      </c>
      <c r="C33" s="12">
        <v>0.4114065370231399</v>
      </c>
      <c r="D33" s="5">
        <f t="shared" si="0"/>
        <v>8</v>
      </c>
      <c r="J33" s="43">
        <v>4</v>
      </c>
      <c r="K33" s="7">
        <v>36.970684901614504</v>
      </c>
      <c r="L33" s="7">
        <v>3.8175071722074034</v>
      </c>
      <c r="M33" s="7">
        <v>15.639010270718044</v>
      </c>
      <c r="N33" s="7">
        <v>4.792133808537355</v>
      </c>
      <c r="Q33" s="4">
        <v>26877</v>
      </c>
      <c r="R33" s="7">
        <v>2.2375665907527202</v>
      </c>
      <c r="S33" s="7">
        <v>21.590146118028304</v>
      </c>
      <c r="T33" s="8">
        <v>0.18976416436453533</v>
      </c>
      <c r="U33" s="7">
        <v>12.45414538987265</v>
      </c>
    </row>
    <row r="34" spans="1:21" x14ac:dyDescent="0.3">
      <c r="A34" s="4">
        <v>26908</v>
      </c>
      <c r="B34" s="12">
        <v>48.831038399999997</v>
      </c>
      <c r="C34" s="12">
        <v>33.60827095457342</v>
      </c>
      <c r="D34" s="5">
        <f t="shared" si="0"/>
        <v>9</v>
      </c>
      <c r="J34" s="43">
        <v>5</v>
      </c>
      <c r="K34" s="7">
        <v>35.225377451687294</v>
      </c>
      <c r="L34" s="7">
        <v>3.0036075434094562</v>
      </c>
      <c r="M34" s="7">
        <v>27.641757774666278</v>
      </c>
      <c r="N34" s="7">
        <v>2.2526266538256166</v>
      </c>
      <c r="Q34" s="4">
        <v>26908</v>
      </c>
      <c r="R34" s="7">
        <v>112.61579609852024</v>
      </c>
      <c r="S34" s="7">
        <v>102.7662604586811</v>
      </c>
      <c r="T34" s="8">
        <v>0.83794645279027202</v>
      </c>
      <c r="U34" s="7">
        <v>99.798561755682812</v>
      </c>
    </row>
    <row r="35" spans="1:21" x14ac:dyDescent="0.3">
      <c r="A35" s="4">
        <v>26938</v>
      </c>
      <c r="B35" s="12">
        <v>247.66047760000001</v>
      </c>
      <c r="C35" s="12">
        <v>122.59894462767981</v>
      </c>
      <c r="D35" s="5">
        <f t="shared" si="0"/>
        <v>10</v>
      </c>
      <c r="J35" s="43">
        <v>6</v>
      </c>
      <c r="K35" s="7">
        <v>18.022871425810706</v>
      </c>
      <c r="L35" s="7">
        <v>1.6879230893863104</v>
      </c>
      <c r="M35" s="7">
        <v>49.542541849437114</v>
      </c>
      <c r="N35" s="7">
        <v>0.60605700935921281</v>
      </c>
      <c r="Q35" s="4">
        <v>26938</v>
      </c>
      <c r="R35" s="7">
        <v>300.90902773974358</v>
      </c>
      <c r="S35" s="7">
        <v>259.91625750913414</v>
      </c>
      <c r="T35" s="8">
        <v>0.8365034008718345</v>
      </c>
      <c r="U35" s="7">
        <v>255.56664467311279</v>
      </c>
    </row>
    <row r="36" spans="1:21" x14ac:dyDescent="0.3">
      <c r="A36" s="4">
        <v>26969</v>
      </c>
      <c r="B36" s="12">
        <v>129.6517126</v>
      </c>
      <c r="C36" s="12">
        <v>87.077134056016916</v>
      </c>
      <c r="D36" s="5">
        <f t="shared" si="0"/>
        <v>11</v>
      </c>
      <c r="J36" s="43">
        <v>7</v>
      </c>
      <c r="K36" s="7">
        <v>19.647314523222917</v>
      </c>
      <c r="L36" s="7">
        <v>1.3204845756062231</v>
      </c>
      <c r="M36" s="7">
        <v>11.044824696168956</v>
      </c>
      <c r="N36" s="7">
        <v>0.64912255429449783</v>
      </c>
      <c r="Q36" s="4">
        <v>26969</v>
      </c>
      <c r="R36" s="7">
        <v>188.72445731217007</v>
      </c>
      <c r="S36" s="7">
        <v>204.76621403169239</v>
      </c>
      <c r="T36" s="8">
        <v>0.52053593677709187</v>
      </c>
      <c r="U36" s="7">
        <v>200.78200697674313</v>
      </c>
    </row>
    <row r="37" spans="1:21" x14ac:dyDescent="0.3">
      <c r="A37" s="4">
        <v>26999</v>
      </c>
      <c r="B37" s="12">
        <v>153.43185199999999</v>
      </c>
      <c r="C37" s="12">
        <v>135.27575206244367</v>
      </c>
      <c r="D37" s="5">
        <f t="shared" si="0"/>
        <v>12</v>
      </c>
      <c r="J37" s="43">
        <v>8</v>
      </c>
      <c r="K37" s="7">
        <v>17.435820177366587</v>
      </c>
      <c r="L37" s="7">
        <v>1.8747394895957781</v>
      </c>
      <c r="M37" s="7">
        <v>11.243225653118127</v>
      </c>
      <c r="N37" s="7">
        <v>0.53454909777905379</v>
      </c>
      <c r="Q37" s="4">
        <v>26999</v>
      </c>
      <c r="R37" s="7">
        <v>285.39597086053118</v>
      </c>
      <c r="S37" s="7">
        <v>280.7978308425038</v>
      </c>
      <c r="T37" s="8">
        <v>0.72662610178636799</v>
      </c>
      <c r="U37" s="7">
        <v>280.11085903129168</v>
      </c>
    </row>
    <row r="38" spans="1:21" x14ac:dyDescent="0.3">
      <c r="A38" s="4">
        <v>27030</v>
      </c>
      <c r="B38" s="12">
        <v>74.361201199999996</v>
      </c>
      <c r="C38" s="12">
        <v>59.950406098505603</v>
      </c>
      <c r="D38" s="5">
        <f t="shared" si="0"/>
        <v>1</v>
      </c>
      <c r="J38" s="43">
        <v>9</v>
      </c>
      <c r="K38" s="7">
        <v>35.945253198499351</v>
      </c>
      <c r="L38" s="7">
        <v>1.6453075960658143</v>
      </c>
      <c r="M38" s="7">
        <v>25.367425363462619</v>
      </c>
      <c r="N38" s="7">
        <v>0.69575945559734953</v>
      </c>
      <c r="Q38" s="4">
        <v>27030</v>
      </c>
      <c r="R38" s="7">
        <v>82.433457747268818</v>
      </c>
      <c r="S38" s="7">
        <v>63.702538749996009</v>
      </c>
      <c r="T38" s="8">
        <v>0.12254667328948736</v>
      </c>
      <c r="U38" s="7">
        <v>62.279122692722538</v>
      </c>
    </row>
    <row r="39" spans="1:21" x14ac:dyDescent="0.3">
      <c r="A39" s="4">
        <v>27061</v>
      </c>
      <c r="B39" s="12">
        <v>246.11133939999999</v>
      </c>
      <c r="C39" s="12">
        <v>62.775734486058241</v>
      </c>
      <c r="D39" s="5">
        <f t="shared" si="0"/>
        <v>2</v>
      </c>
      <c r="J39" s="43">
        <v>10</v>
      </c>
      <c r="K39" s="7">
        <v>48.709961130845151</v>
      </c>
      <c r="L39" s="7">
        <v>3.509424550503653</v>
      </c>
      <c r="M39" s="7">
        <v>57.17858565690198</v>
      </c>
      <c r="N39" s="7">
        <v>1.2180687419296312</v>
      </c>
      <c r="Q39" s="4">
        <v>27061</v>
      </c>
      <c r="R39" s="7">
        <v>122.67760438861879</v>
      </c>
      <c r="S39" s="7">
        <v>139.74199952431354</v>
      </c>
      <c r="T39" s="8">
        <v>0.28358459584373963</v>
      </c>
      <c r="U39" s="7">
        <v>139.34899554408531</v>
      </c>
    </row>
    <row r="40" spans="1:21" x14ac:dyDescent="0.3">
      <c r="A40" s="4">
        <v>27089</v>
      </c>
      <c r="B40" s="12">
        <v>138.568602</v>
      </c>
      <c r="C40" s="12">
        <v>103.7351205479353</v>
      </c>
      <c r="D40" s="5">
        <f t="shared" si="0"/>
        <v>3</v>
      </c>
      <c r="J40" s="43">
        <v>11</v>
      </c>
      <c r="K40" s="7">
        <v>29.984711154561641</v>
      </c>
      <c r="L40" s="7">
        <v>6.8942044470959578</v>
      </c>
      <c r="M40" s="7">
        <v>33.98713538784677</v>
      </c>
      <c r="N40" s="7">
        <v>2.8063730937606146</v>
      </c>
      <c r="Q40" s="4">
        <v>27089</v>
      </c>
      <c r="R40" s="7">
        <v>221.05247009839178</v>
      </c>
      <c r="S40" s="7">
        <v>216.626411394087</v>
      </c>
      <c r="T40" s="8">
        <v>0.83029005588771121</v>
      </c>
      <c r="U40" s="7">
        <v>216.39433140777615</v>
      </c>
    </row>
    <row r="41" spans="1:21" x14ac:dyDescent="0.3">
      <c r="A41" s="4">
        <v>27120</v>
      </c>
      <c r="B41" s="12">
        <v>280.42951640000001</v>
      </c>
      <c r="C41" s="12">
        <v>133.44114215578898</v>
      </c>
      <c r="D41" s="5">
        <f t="shared" si="0"/>
        <v>4</v>
      </c>
      <c r="J41" s="43">
        <v>12</v>
      </c>
      <c r="K41" s="7">
        <v>40.720753050263156</v>
      </c>
      <c r="L41" s="7">
        <v>5.6966512721494862</v>
      </c>
      <c r="M41" s="7">
        <v>25.797522215711055</v>
      </c>
      <c r="N41" s="7">
        <v>4.2621581413937726</v>
      </c>
      <c r="Q41" s="4">
        <v>27120</v>
      </c>
      <c r="R41" s="7">
        <v>251.29792777494214</v>
      </c>
      <c r="S41" s="7">
        <v>266.96950338975074</v>
      </c>
      <c r="T41" s="8">
        <v>0.93846245091311908</v>
      </c>
      <c r="U41" s="7">
        <v>265.57470097173035</v>
      </c>
    </row>
    <row r="42" spans="1:21" x14ac:dyDescent="0.3">
      <c r="A42" s="4">
        <v>27150</v>
      </c>
      <c r="B42" s="12">
        <v>87.0684057</v>
      </c>
      <c r="C42" s="12">
        <v>104.27375704748569</v>
      </c>
      <c r="D42" s="5">
        <f t="shared" si="0"/>
        <v>5</v>
      </c>
      <c r="Q42" s="4">
        <v>27150</v>
      </c>
      <c r="R42" s="7">
        <v>177.18175049782295</v>
      </c>
      <c r="S42" s="7">
        <v>168.4832877325573</v>
      </c>
      <c r="T42" s="8">
        <v>0.85552595889202665</v>
      </c>
      <c r="U42" s="7">
        <v>168.53518822730737</v>
      </c>
    </row>
    <row r="43" spans="1:21" x14ac:dyDescent="0.3">
      <c r="A43" s="4">
        <v>27181</v>
      </c>
      <c r="B43" s="12">
        <v>25.3254023</v>
      </c>
      <c r="C43" s="12">
        <v>9.9789058731403291</v>
      </c>
      <c r="D43" s="5">
        <f t="shared" si="0"/>
        <v>6</v>
      </c>
      <c r="Q43" s="4">
        <v>27181</v>
      </c>
      <c r="R43" s="7">
        <v>10.110387504597172</v>
      </c>
      <c r="S43" s="7">
        <v>17.666145648239468</v>
      </c>
      <c r="T43" s="8">
        <v>0.39317364919385955</v>
      </c>
      <c r="U43" s="7">
        <v>19.497666226491205</v>
      </c>
    </row>
    <row r="44" spans="1:21" x14ac:dyDescent="0.3">
      <c r="A44" s="4">
        <v>27211</v>
      </c>
      <c r="B44" s="12">
        <v>4.5868741000000002</v>
      </c>
      <c r="C44" s="12">
        <v>0.41269666048719994</v>
      </c>
      <c r="D44" s="5">
        <f t="shared" si="0"/>
        <v>7</v>
      </c>
      <c r="Q44" s="4">
        <v>27211</v>
      </c>
      <c r="R44" s="7">
        <v>1.4934199837232016</v>
      </c>
      <c r="S44" s="7">
        <v>3.6715305228274371</v>
      </c>
      <c r="T44" s="8">
        <v>0.12964754476122567</v>
      </c>
      <c r="U44" s="7">
        <v>5.3208759497920779</v>
      </c>
    </row>
    <row r="45" spans="1:21" x14ac:dyDescent="0.3">
      <c r="A45" s="4">
        <v>27242</v>
      </c>
      <c r="B45" s="12">
        <v>44.024081199999998</v>
      </c>
      <c r="C45" s="12">
        <v>0</v>
      </c>
      <c r="D45" s="5">
        <f t="shared" si="0"/>
        <v>8</v>
      </c>
      <c r="Q45" s="4">
        <v>27242</v>
      </c>
      <c r="R45" s="7">
        <v>0</v>
      </c>
      <c r="S45" s="7">
        <v>0</v>
      </c>
      <c r="T45" s="8">
        <v>0</v>
      </c>
      <c r="U45" s="7">
        <v>0</v>
      </c>
    </row>
    <row r="46" spans="1:21" x14ac:dyDescent="0.3">
      <c r="A46" s="4">
        <v>27273</v>
      </c>
      <c r="B46" s="12">
        <v>185.5295696</v>
      </c>
      <c r="C46" s="12">
        <v>13.845503082848147</v>
      </c>
      <c r="D46" s="5">
        <f t="shared" si="0"/>
        <v>9</v>
      </c>
      <c r="Q46" s="4">
        <v>27273</v>
      </c>
      <c r="R46" s="7">
        <v>46.394006825491893</v>
      </c>
      <c r="S46" s="7">
        <v>59.349255804744246</v>
      </c>
      <c r="T46" s="8">
        <v>0.58541228658762601</v>
      </c>
      <c r="U46" s="7">
        <v>56.978075264460664</v>
      </c>
    </row>
    <row r="47" spans="1:21" x14ac:dyDescent="0.3">
      <c r="A47" s="4">
        <v>27303</v>
      </c>
      <c r="B47" s="12">
        <v>321.62831490000002</v>
      </c>
      <c r="C47" s="12">
        <v>42.458609881577949</v>
      </c>
      <c r="D47" s="5">
        <f t="shared" si="0"/>
        <v>10</v>
      </c>
      <c r="Q47" s="4">
        <v>27303</v>
      </c>
      <c r="R47" s="7">
        <v>104.21116639663263</v>
      </c>
      <c r="S47" s="7">
        <v>141.13797772127882</v>
      </c>
      <c r="T47" s="8">
        <v>0.42492342400589966</v>
      </c>
      <c r="U47" s="7">
        <v>139.27862270160668</v>
      </c>
    </row>
    <row r="48" spans="1:21" x14ac:dyDescent="0.3">
      <c r="A48" s="4">
        <v>27334</v>
      </c>
      <c r="B48" s="12">
        <v>165.91360760000001</v>
      </c>
      <c r="C48" s="12">
        <v>118.58087650034589</v>
      </c>
      <c r="D48" s="5">
        <f t="shared" si="0"/>
        <v>11</v>
      </c>
      <c r="Q48" s="4">
        <v>27334</v>
      </c>
      <c r="R48" s="7">
        <v>257.00330870711372</v>
      </c>
      <c r="S48" s="7">
        <v>246.46123442741825</v>
      </c>
      <c r="T48" s="8">
        <v>0.71743500733559462</v>
      </c>
      <c r="U48" s="7">
        <v>244.17200087809269</v>
      </c>
    </row>
    <row r="49" spans="1:21" x14ac:dyDescent="0.3">
      <c r="A49" s="4">
        <v>27364</v>
      </c>
      <c r="B49" s="12">
        <v>36.387569599999999</v>
      </c>
      <c r="C49" s="12">
        <v>152.51264622202143</v>
      </c>
      <c r="D49" s="5">
        <f t="shared" si="0"/>
        <v>12</v>
      </c>
      <c r="Q49" s="4">
        <v>27364</v>
      </c>
      <c r="R49" s="7">
        <v>321.76124747730529</v>
      </c>
      <c r="S49" s="7">
        <v>310.59702476185709</v>
      </c>
      <c r="T49" s="8">
        <v>0.80843246432012861</v>
      </c>
      <c r="U49" s="7">
        <v>310.97595539055879</v>
      </c>
    </row>
    <row r="50" spans="1:21" x14ac:dyDescent="0.3">
      <c r="A50" s="4">
        <v>27395</v>
      </c>
      <c r="B50" s="12">
        <v>32.725071300000003</v>
      </c>
      <c r="C50" s="12">
        <v>132.52938701771208</v>
      </c>
      <c r="D50" s="5">
        <f t="shared" si="0"/>
        <v>1</v>
      </c>
      <c r="Q50" s="4">
        <v>27395</v>
      </c>
      <c r="R50" s="7">
        <v>182.23155331166859</v>
      </c>
      <c r="S50" s="7">
        <v>181.34694638013229</v>
      </c>
      <c r="T50" s="8">
        <v>0.65769090989399204</v>
      </c>
      <c r="U50" s="7">
        <v>183.5177249197088</v>
      </c>
    </row>
    <row r="51" spans="1:21" x14ac:dyDescent="0.3">
      <c r="A51" s="4">
        <v>27426</v>
      </c>
      <c r="B51" s="12">
        <v>184.34088729999999</v>
      </c>
      <c r="C51" s="12">
        <v>145.61660103499895</v>
      </c>
      <c r="D51" s="5">
        <f t="shared" si="0"/>
        <v>2</v>
      </c>
      <c r="Q51" s="4">
        <v>27426</v>
      </c>
      <c r="R51" s="7">
        <v>284.56689388722805</v>
      </c>
      <c r="S51" s="7">
        <v>268.12977550135736</v>
      </c>
      <c r="T51" s="8">
        <v>0.81763671078558331</v>
      </c>
      <c r="U51" s="7">
        <v>267.20384091354379</v>
      </c>
    </row>
    <row r="52" spans="1:21" x14ac:dyDescent="0.3">
      <c r="A52" s="4">
        <v>27454</v>
      </c>
      <c r="B52" s="12">
        <v>103.199764</v>
      </c>
      <c r="C52" s="12">
        <v>78.683402866590654</v>
      </c>
      <c r="D52" s="5">
        <f t="shared" si="0"/>
        <v>3</v>
      </c>
      <c r="Q52" s="4">
        <v>27454</v>
      </c>
      <c r="R52" s="7">
        <v>167.66896753515107</v>
      </c>
      <c r="S52" s="7">
        <v>167.82607502329418</v>
      </c>
      <c r="T52" s="8">
        <v>0.64903441931632133</v>
      </c>
      <c r="U52" s="7">
        <v>167.37250741424197</v>
      </c>
    </row>
    <row r="53" spans="1:21" x14ac:dyDescent="0.3">
      <c r="A53" s="4">
        <v>27485</v>
      </c>
      <c r="B53" s="12">
        <v>72.381086999999994</v>
      </c>
      <c r="C53" s="12">
        <v>69.534899317659338</v>
      </c>
      <c r="D53" s="5">
        <f t="shared" si="0"/>
        <v>4</v>
      </c>
      <c r="Q53" s="4">
        <v>27485</v>
      </c>
      <c r="R53" s="7">
        <v>130.948939916646</v>
      </c>
      <c r="S53" s="7">
        <v>127.71217064595285</v>
      </c>
      <c r="T53" s="8">
        <v>0.49676652393263071</v>
      </c>
      <c r="U53" s="7">
        <v>128.46765922205898</v>
      </c>
    </row>
    <row r="54" spans="1:21" x14ac:dyDescent="0.3">
      <c r="A54" s="4">
        <v>27515</v>
      </c>
      <c r="B54" s="12">
        <v>77.566617100000002</v>
      </c>
      <c r="C54" s="12">
        <v>6.4356515074905474</v>
      </c>
      <c r="D54" s="5">
        <f t="shared" si="0"/>
        <v>5</v>
      </c>
      <c r="Q54" s="4">
        <v>27515</v>
      </c>
      <c r="R54" s="7">
        <v>10.935445619091398</v>
      </c>
      <c r="S54" s="7">
        <v>15.936360213762191</v>
      </c>
      <c r="T54" s="8">
        <v>1.2506691882310517E-2</v>
      </c>
      <c r="U54" s="7">
        <v>16.749885805754214</v>
      </c>
    </row>
    <row r="55" spans="1:21" x14ac:dyDescent="0.3">
      <c r="A55" s="4">
        <v>27546</v>
      </c>
      <c r="B55" s="12">
        <v>59.071693099999997</v>
      </c>
      <c r="C55" s="12">
        <v>5.8957439905498212</v>
      </c>
      <c r="D55" s="5">
        <f t="shared" si="0"/>
        <v>6</v>
      </c>
      <c r="Q55" s="4">
        <v>27546</v>
      </c>
      <c r="R55" s="7">
        <v>5.9734260579411851</v>
      </c>
      <c r="S55" s="7">
        <v>12.730134442359812</v>
      </c>
      <c r="T55" s="8">
        <v>0.2944891949366088</v>
      </c>
      <c r="U55" s="7">
        <v>15.158627431121664</v>
      </c>
    </row>
    <row r="56" spans="1:21" x14ac:dyDescent="0.3">
      <c r="A56" s="4">
        <v>27576</v>
      </c>
      <c r="B56" s="12">
        <v>24.494136900000001</v>
      </c>
      <c r="C56" s="12">
        <v>7.8084984721499469</v>
      </c>
      <c r="D56" s="5">
        <f t="shared" si="0"/>
        <v>7</v>
      </c>
      <c r="Q56" s="4">
        <v>27576</v>
      </c>
      <c r="R56" s="7">
        <v>28.256510841193258</v>
      </c>
      <c r="S56" s="7">
        <v>30.893844868540878</v>
      </c>
      <c r="T56" s="8">
        <v>0.68648371544604658</v>
      </c>
      <c r="U56" s="7">
        <v>30.630666095639118</v>
      </c>
    </row>
    <row r="57" spans="1:21" x14ac:dyDescent="0.3">
      <c r="A57" s="4">
        <v>27607</v>
      </c>
      <c r="B57" s="12">
        <v>94.513683099999994</v>
      </c>
      <c r="C57" s="12">
        <v>0.57360244231858704</v>
      </c>
      <c r="D57" s="5">
        <f t="shared" si="0"/>
        <v>8</v>
      </c>
      <c r="Q57" s="4">
        <v>27607</v>
      </c>
      <c r="R57" s="7">
        <v>3.119721117202483</v>
      </c>
      <c r="S57" s="7">
        <v>23.731353107247067</v>
      </c>
      <c r="T57" s="8">
        <v>0.22553449272149137</v>
      </c>
      <c r="U57" s="7">
        <v>14.071230512652523</v>
      </c>
    </row>
    <row r="58" spans="1:21" x14ac:dyDescent="0.3">
      <c r="A58" s="4">
        <v>27638</v>
      </c>
      <c r="B58" s="12">
        <v>30.669225600000001</v>
      </c>
      <c r="C58" s="12">
        <v>17.062329658074308</v>
      </c>
      <c r="D58" s="5">
        <f t="shared" si="0"/>
        <v>9</v>
      </c>
      <c r="Q58" s="4">
        <v>27638</v>
      </c>
      <c r="R58" s="7">
        <v>57.173064342899622</v>
      </c>
      <c r="S58" s="7">
        <v>67.543752755228226</v>
      </c>
      <c r="T58" s="8">
        <v>0.6469873992669708</v>
      </c>
      <c r="U58" s="7">
        <v>64.675971008510047</v>
      </c>
    </row>
    <row r="59" spans="1:21" x14ac:dyDescent="0.3">
      <c r="A59" s="4">
        <v>27668</v>
      </c>
      <c r="B59" s="12">
        <v>154.65396000000001</v>
      </c>
      <c r="C59" s="12">
        <v>202.04378943890345</v>
      </c>
      <c r="D59" s="5">
        <f t="shared" si="0"/>
        <v>10</v>
      </c>
      <c r="Q59" s="4">
        <v>27668</v>
      </c>
      <c r="R59" s="7">
        <v>495.8998662308835</v>
      </c>
      <c r="S59" s="7">
        <v>346.55205318915262</v>
      </c>
      <c r="T59" s="8">
        <v>0.95571277180934289</v>
      </c>
      <c r="U59" s="7">
        <v>351.73154760880811</v>
      </c>
    </row>
    <row r="60" spans="1:21" x14ac:dyDescent="0.3">
      <c r="A60" s="4">
        <v>27699</v>
      </c>
      <c r="B60" s="12">
        <v>158.86136239999999</v>
      </c>
      <c r="C60" s="12">
        <v>167.94681083410978</v>
      </c>
      <c r="D60" s="5">
        <f t="shared" si="0"/>
        <v>11</v>
      </c>
      <c r="Q60" s="4">
        <v>27699</v>
      </c>
      <c r="R60" s="7">
        <v>363.99533672740262</v>
      </c>
      <c r="S60" s="7">
        <v>303.71758252840232</v>
      </c>
      <c r="T60" s="8">
        <v>0.89189053204256519</v>
      </c>
      <c r="U60" s="7">
        <v>307.21582887399558</v>
      </c>
    </row>
    <row r="61" spans="1:21" x14ac:dyDescent="0.3">
      <c r="A61" s="4">
        <v>27729</v>
      </c>
      <c r="B61" s="12">
        <v>167.54897070000001</v>
      </c>
      <c r="C61" s="12">
        <v>187.21751261036843</v>
      </c>
      <c r="D61" s="5">
        <f t="shared" si="0"/>
        <v>12</v>
      </c>
      <c r="Q61" s="4">
        <v>27729</v>
      </c>
      <c r="R61" s="7">
        <v>394.97931417055344</v>
      </c>
      <c r="S61" s="7">
        <v>369.04493863882448</v>
      </c>
      <c r="T61" s="8">
        <v>0.91309914492958</v>
      </c>
      <c r="U61" s="7">
        <v>372.31707606348004</v>
      </c>
    </row>
    <row r="62" spans="1:21" x14ac:dyDescent="0.3">
      <c r="A62" s="4">
        <v>27760</v>
      </c>
      <c r="B62" s="12">
        <v>98.888573500000007</v>
      </c>
      <c r="C62" s="12">
        <v>83.268755686003757</v>
      </c>
      <c r="D62" s="5">
        <f t="shared" si="0"/>
        <v>1</v>
      </c>
      <c r="Q62" s="4">
        <v>27760</v>
      </c>
      <c r="R62" s="7">
        <v>114.49682996694405</v>
      </c>
      <c r="S62" s="7">
        <v>98.250875242515818</v>
      </c>
      <c r="T62" s="8">
        <v>0.28775026862418351</v>
      </c>
      <c r="U62" s="7">
        <v>98.491286141625508</v>
      </c>
    </row>
    <row r="63" spans="1:21" x14ac:dyDescent="0.3">
      <c r="A63" s="4">
        <v>27791</v>
      </c>
      <c r="B63" s="12">
        <v>216.11872360000001</v>
      </c>
      <c r="C63" s="12">
        <v>42.931309930281635</v>
      </c>
      <c r="D63" s="5">
        <f t="shared" si="0"/>
        <v>2</v>
      </c>
      <c r="Q63" s="4">
        <v>27791</v>
      </c>
      <c r="R63" s="7">
        <v>83.897230333194216</v>
      </c>
      <c r="S63" s="7">
        <v>104.11668160084751</v>
      </c>
      <c r="T63" s="8">
        <v>0.13099786971521374</v>
      </c>
      <c r="U63" s="7">
        <v>105.16703095563038</v>
      </c>
    </row>
    <row r="64" spans="1:21" x14ac:dyDescent="0.3">
      <c r="A64" s="4">
        <v>27820</v>
      </c>
      <c r="B64" s="12">
        <v>115.6374318</v>
      </c>
      <c r="C64" s="12">
        <v>106.42767943209041</v>
      </c>
      <c r="D64" s="5">
        <f t="shared" si="0"/>
        <v>3</v>
      </c>
      <c r="Q64" s="4">
        <v>27820</v>
      </c>
      <c r="R64" s="7">
        <v>226.79012952447616</v>
      </c>
      <c r="S64" s="7">
        <v>221.81358452811085</v>
      </c>
      <c r="T64" s="8">
        <v>0.84405246274176893</v>
      </c>
      <c r="U64" s="7">
        <v>221.62949784479758</v>
      </c>
    </row>
    <row r="65" spans="1:21" x14ac:dyDescent="0.3">
      <c r="A65" s="4">
        <v>27851</v>
      </c>
      <c r="B65" s="12">
        <v>135.638418</v>
      </c>
      <c r="C65" s="12">
        <v>71.029181533958663</v>
      </c>
      <c r="D65" s="5">
        <f t="shared" si="0"/>
        <v>4</v>
      </c>
      <c r="Q65" s="4">
        <v>27851</v>
      </c>
      <c r="R65" s="7">
        <v>133.76298975465301</v>
      </c>
      <c r="S65" s="7">
        <v>130.82110461064829</v>
      </c>
      <c r="T65" s="8">
        <v>0.51483793930214672</v>
      </c>
      <c r="U65" s="7">
        <v>131.5875006422286</v>
      </c>
    </row>
    <row r="66" spans="1:21" x14ac:dyDescent="0.3">
      <c r="A66" s="4">
        <v>27881</v>
      </c>
      <c r="B66" s="12">
        <v>70.1243257</v>
      </c>
      <c r="C66" s="12">
        <v>40.324667491950017</v>
      </c>
      <c r="D66" s="5">
        <f t="shared" si="0"/>
        <v>5</v>
      </c>
      <c r="Q66" s="4">
        <v>27881</v>
      </c>
      <c r="R66" s="7">
        <v>68.519590899680153</v>
      </c>
      <c r="S66" s="7">
        <v>75.370256085699339</v>
      </c>
      <c r="T66" s="8">
        <v>0.35298574331714455</v>
      </c>
      <c r="U66" s="7">
        <v>74.426794412453518</v>
      </c>
    </row>
    <row r="67" spans="1:21" x14ac:dyDescent="0.3">
      <c r="A67" s="4">
        <v>27912</v>
      </c>
      <c r="B67" s="12">
        <v>34.284922799999997</v>
      </c>
      <c r="C67" s="12">
        <v>14.071840399992643</v>
      </c>
      <c r="D67" s="5">
        <f t="shared" ref="D67:D130" si="4">MONTH(A67)</f>
        <v>6</v>
      </c>
      <c r="Q67" s="4">
        <v>27912</v>
      </c>
      <c r="R67" s="7">
        <v>14.257250359452366</v>
      </c>
      <c r="S67" s="7">
        <v>21.882011171006504</v>
      </c>
      <c r="T67" s="8">
        <v>0.47019874004896811</v>
      </c>
      <c r="U67" s="7">
        <v>23.159111303133354</v>
      </c>
    </row>
    <row r="68" spans="1:21" x14ac:dyDescent="0.3">
      <c r="A68" s="4">
        <v>27942</v>
      </c>
      <c r="B68" s="12">
        <v>47.185914199999999</v>
      </c>
      <c r="C68" s="12">
        <v>42.749096889747186</v>
      </c>
      <c r="D68" s="5">
        <f t="shared" si="4"/>
        <v>7</v>
      </c>
      <c r="Q68" s="4">
        <v>27942</v>
      </c>
      <c r="R68" s="7">
        <v>154.6955953215132</v>
      </c>
      <c r="S68" s="7">
        <v>105.86354649059909</v>
      </c>
      <c r="T68" s="8">
        <v>0.99130167138732861</v>
      </c>
      <c r="U68" s="7">
        <v>107.10125436067274</v>
      </c>
    </row>
    <row r="69" spans="1:21" x14ac:dyDescent="0.3">
      <c r="A69" s="4">
        <v>27973</v>
      </c>
      <c r="B69" s="12">
        <v>24.617494700000002</v>
      </c>
      <c r="C69" s="12">
        <v>1.1690485652280933E-8</v>
      </c>
      <c r="D69" s="5">
        <f t="shared" si="4"/>
        <v>8</v>
      </c>
      <c r="Q69" s="4">
        <v>27973</v>
      </c>
      <c r="R69" s="7">
        <v>6.3582461072431982E-8</v>
      </c>
      <c r="S69" s="7">
        <v>0.15387794601547558</v>
      </c>
      <c r="T69" s="8">
        <v>1.777386750814923E-5</v>
      </c>
      <c r="U69" s="7">
        <v>6.9625525694220772E-2</v>
      </c>
    </row>
    <row r="70" spans="1:21" x14ac:dyDescent="0.3">
      <c r="A70" s="4">
        <v>28004</v>
      </c>
      <c r="B70" s="12">
        <v>22.664901700000001</v>
      </c>
      <c r="C70" s="12">
        <v>24.292683752719302</v>
      </c>
      <c r="D70" s="5">
        <f t="shared" si="4"/>
        <v>9</v>
      </c>
      <c r="Q70" s="4">
        <v>28004</v>
      </c>
      <c r="R70" s="7">
        <v>81.400793390407728</v>
      </c>
      <c r="S70" s="7">
        <v>84.057567839931579</v>
      </c>
      <c r="T70" s="8">
        <v>0.7506927231080136</v>
      </c>
      <c r="U70" s="7">
        <v>80.717967480078414</v>
      </c>
    </row>
    <row r="71" spans="1:21" x14ac:dyDescent="0.3">
      <c r="A71" s="4">
        <v>28034</v>
      </c>
      <c r="B71" s="12">
        <v>175.37051400000001</v>
      </c>
      <c r="C71" s="12">
        <v>314.42143439780932</v>
      </c>
      <c r="D71" s="5">
        <f t="shared" si="4"/>
        <v>10</v>
      </c>
      <c r="Q71" s="4">
        <v>28034</v>
      </c>
      <c r="R71" s="7">
        <v>771.72155447592058</v>
      </c>
      <c r="S71" s="7">
        <v>447.06374276631129</v>
      </c>
      <c r="T71" s="8">
        <v>0.99327664856691578</v>
      </c>
      <c r="U71" s="7">
        <v>476.00851580599374</v>
      </c>
    </row>
    <row r="72" spans="1:21" x14ac:dyDescent="0.3">
      <c r="A72" s="4">
        <v>28065</v>
      </c>
      <c r="B72" s="12">
        <v>162.70918889999999</v>
      </c>
      <c r="C72" s="12">
        <v>130.77044149395076</v>
      </c>
      <c r="D72" s="5">
        <f t="shared" si="4"/>
        <v>11</v>
      </c>
      <c r="Q72" s="4">
        <v>28065</v>
      </c>
      <c r="R72" s="7">
        <v>283.42205874095851</v>
      </c>
      <c r="S72" s="7">
        <v>261.36846348860701</v>
      </c>
      <c r="T72" s="8">
        <v>0.7742856920709027</v>
      </c>
      <c r="U72" s="7">
        <v>260.19712175218604</v>
      </c>
    </row>
    <row r="73" spans="1:21" x14ac:dyDescent="0.3">
      <c r="A73" s="4">
        <v>28095</v>
      </c>
      <c r="B73" s="12">
        <v>347.3191324</v>
      </c>
      <c r="C73" s="12">
        <v>74.303321231855094</v>
      </c>
      <c r="D73" s="5">
        <f t="shared" si="4"/>
        <v>12</v>
      </c>
      <c r="Q73" s="4">
        <v>28095</v>
      </c>
      <c r="R73" s="7">
        <v>156.76030757780237</v>
      </c>
      <c r="S73" s="7">
        <v>169.65207420959618</v>
      </c>
      <c r="T73" s="8">
        <v>0.27674964691846127</v>
      </c>
      <c r="U73" s="7">
        <v>167.58063790898532</v>
      </c>
    </row>
    <row r="74" spans="1:21" x14ac:dyDescent="0.3">
      <c r="A74" s="4">
        <v>28126</v>
      </c>
      <c r="B74" s="12">
        <v>106.89417779999999</v>
      </c>
      <c r="C74" s="12">
        <v>159.9125718232244</v>
      </c>
      <c r="D74" s="5">
        <f t="shared" si="4"/>
        <v>1</v>
      </c>
      <c r="Q74" s="4">
        <v>28126</v>
      </c>
      <c r="R74" s="7">
        <v>219.88418578828365</v>
      </c>
      <c r="S74" s="7">
        <v>232.3193704426985</v>
      </c>
      <c r="T74" s="8">
        <v>0.79990361860760328</v>
      </c>
      <c r="U74" s="7">
        <v>234.0181459555331</v>
      </c>
    </row>
    <row r="75" spans="1:21" x14ac:dyDescent="0.3">
      <c r="A75" s="4">
        <v>28157</v>
      </c>
      <c r="B75" s="12">
        <v>62.369472000000002</v>
      </c>
      <c r="C75" s="12">
        <v>69.942105794325457</v>
      </c>
      <c r="D75" s="5">
        <f t="shared" si="4"/>
        <v>2</v>
      </c>
      <c r="Q75" s="4">
        <v>28157</v>
      </c>
      <c r="R75" s="7">
        <v>136.68227150171811</v>
      </c>
      <c r="S75" s="7">
        <v>151.94536529867528</v>
      </c>
      <c r="T75" s="8">
        <v>0.34307397822181845</v>
      </c>
      <c r="U75" s="7">
        <v>151.17124592725807</v>
      </c>
    </row>
    <row r="76" spans="1:21" x14ac:dyDescent="0.3">
      <c r="A76" s="4">
        <v>28185</v>
      </c>
      <c r="B76" s="12">
        <v>39.724762900000002</v>
      </c>
      <c r="C76" s="12">
        <v>65.420973545406099</v>
      </c>
      <c r="D76" s="5">
        <f t="shared" si="4"/>
        <v>3</v>
      </c>
      <c r="Q76" s="4">
        <v>28185</v>
      </c>
      <c r="R76" s="7">
        <v>139.40763477274811</v>
      </c>
      <c r="S76" s="7">
        <v>141.52429184945345</v>
      </c>
      <c r="T76" s="8">
        <v>0.5116789802890167</v>
      </c>
      <c r="U76" s="7">
        <v>141.12712882733879</v>
      </c>
    </row>
    <row r="77" spans="1:21" x14ac:dyDescent="0.3">
      <c r="A77" s="4">
        <v>28216</v>
      </c>
      <c r="B77" s="12">
        <v>96.907734899999994</v>
      </c>
      <c r="C77" s="12">
        <v>64.760709763504494</v>
      </c>
      <c r="D77" s="5">
        <f t="shared" si="4"/>
        <v>4</v>
      </c>
      <c r="Q77" s="4">
        <v>28216</v>
      </c>
      <c r="R77" s="7">
        <v>121.95813001812746</v>
      </c>
      <c r="S77" s="7">
        <v>117.83870720312885</v>
      </c>
      <c r="T77" s="8">
        <v>0.43746471706811418</v>
      </c>
      <c r="U77" s="7">
        <v>118.54031712552032</v>
      </c>
    </row>
    <row r="78" spans="1:21" x14ac:dyDescent="0.3">
      <c r="A78" s="4">
        <v>28246</v>
      </c>
      <c r="B78" s="12">
        <v>30.484929999999999</v>
      </c>
      <c r="C78" s="12">
        <v>98.332122608553632</v>
      </c>
      <c r="D78" s="5">
        <f t="shared" si="4"/>
        <v>5</v>
      </c>
      <c r="Q78" s="4">
        <v>28246</v>
      </c>
      <c r="R78" s="7">
        <v>167.08573765128557</v>
      </c>
      <c r="S78" s="7">
        <v>160.3182434986328</v>
      </c>
      <c r="T78" s="8">
        <v>0.83082768980951138</v>
      </c>
      <c r="U78" s="7">
        <v>160.07329748832674</v>
      </c>
    </row>
    <row r="79" spans="1:21" x14ac:dyDescent="0.3">
      <c r="A79" s="4">
        <v>28277</v>
      </c>
      <c r="B79" s="12">
        <v>23.397945700000001</v>
      </c>
      <c r="C79" s="12">
        <v>12.643345253309233</v>
      </c>
      <c r="D79" s="5">
        <f t="shared" si="4"/>
        <v>6</v>
      </c>
      <c r="Q79" s="4">
        <v>28277</v>
      </c>
      <c r="R79" s="7">
        <v>12.809933422604599</v>
      </c>
      <c r="S79" s="7">
        <v>20.471033066641056</v>
      </c>
      <c r="T79" s="8">
        <v>0.44517774712671804</v>
      </c>
      <c r="U79" s="7">
        <v>21.934856465186915</v>
      </c>
    </row>
    <row r="80" spans="1:21" x14ac:dyDescent="0.3">
      <c r="A80" s="4">
        <v>28307</v>
      </c>
      <c r="B80" s="12">
        <v>8.1107171999999998</v>
      </c>
      <c r="C80" s="12">
        <v>3.462345010120778</v>
      </c>
      <c r="D80" s="5">
        <f t="shared" si="4"/>
        <v>7</v>
      </c>
      <c r="Q80" s="4">
        <v>28307</v>
      </c>
      <c r="R80" s="7">
        <v>12.529142403416794</v>
      </c>
      <c r="S80" s="7">
        <v>17.140070713253923</v>
      </c>
      <c r="T80" s="8">
        <v>0.46457305192286247</v>
      </c>
      <c r="U80" s="7">
        <v>18.115630777431512</v>
      </c>
    </row>
    <row r="81" spans="1:21" x14ac:dyDescent="0.3">
      <c r="A81" s="4">
        <v>28338</v>
      </c>
      <c r="B81" s="12">
        <v>23.8790099</v>
      </c>
      <c r="C81" s="12">
        <v>0.47862103697298181</v>
      </c>
      <c r="D81" s="5">
        <f t="shared" si="4"/>
        <v>8</v>
      </c>
      <c r="Q81" s="4">
        <v>28338</v>
      </c>
      <c r="R81" s="7">
        <v>2.6031342372713207</v>
      </c>
      <c r="S81" s="7">
        <v>22.540010468530181</v>
      </c>
      <c r="T81" s="8">
        <v>0.20532879291251432</v>
      </c>
      <c r="U81" s="7">
        <v>13.160615542194872</v>
      </c>
    </row>
    <row r="82" spans="1:21" x14ac:dyDescent="0.3">
      <c r="A82" s="4">
        <v>28369</v>
      </c>
      <c r="B82" s="12">
        <v>96.903258100000002</v>
      </c>
      <c r="C82" s="12">
        <v>26.250946742948027</v>
      </c>
      <c r="D82" s="5">
        <f t="shared" si="4"/>
        <v>9</v>
      </c>
      <c r="Q82" s="4">
        <v>28369</v>
      </c>
      <c r="R82" s="7">
        <v>87.962611042763527</v>
      </c>
      <c r="S82" s="7">
        <v>88.190397950586259</v>
      </c>
      <c r="T82" s="8">
        <v>0.7725754599264717</v>
      </c>
      <c r="U82" s="7">
        <v>84.84853244202165</v>
      </c>
    </row>
    <row r="83" spans="1:21" x14ac:dyDescent="0.3">
      <c r="A83" s="4">
        <v>28399</v>
      </c>
      <c r="B83" s="12">
        <v>58.801873700000002</v>
      </c>
      <c r="C83" s="12">
        <v>64.94348041014733</v>
      </c>
      <c r="D83" s="5">
        <f t="shared" si="4"/>
        <v>10</v>
      </c>
      <c r="Q83" s="4">
        <v>28399</v>
      </c>
      <c r="R83" s="7">
        <v>159.39843207949116</v>
      </c>
      <c r="S83" s="7">
        <v>180.27181266843905</v>
      </c>
      <c r="T83" s="8">
        <v>0.59127483230250455</v>
      </c>
      <c r="U83" s="7">
        <v>175.75540367234632</v>
      </c>
    </row>
    <row r="84" spans="1:21" x14ac:dyDescent="0.3">
      <c r="A84" s="4">
        <v>28430</v>
      </c>
      <c r="B84" s="12">
        <v>203.47559129999999</v>
      </c>
      <c r="C84" s="12">
        <v>38.415846152929703</v>
      </c>
      <c r="D84" s="5">
        <f t="shared" si="4"/>
        <v>11</v>
      </c>
      <c r="Q84" s="4">
        <v>28430</v>
      </c>
      <c r="R84" s="7">
        <v>83.259627179915299</v>
      </c>
      <c r="S84" s="7">
        <v>125.30213282302476</v>
      </c>
      <c r="T84" s="8">
        <v>0.13315285040641092</v>
      </c>
      <c r="U84" s="7">
        <v>123.60978383489044</v>
      </c>
    </row>
    <row r="85" spans="1:21" x14ac:dyDescent="0.3">
      <c r="A85" s="4">
        <v>28460</v>
      </c>
      <c r="B85" s="12">
        <v>231.0730748</v>
      </c>
      <c r="C85" s="12">
        <v>137.73995144292701</v>
      </c>
      <c r="D85" s="5">
        <f t="shared" si="4"/>
        <v>12</v>
      </c>
      <c r="Q85" s="4">
        <v>28460</v>
      </c>
      <c r="R85" s="7">
        <v>290.59477821413827</v>
      </c>
      <c r="S85" s="7">
        <v>285.09333009109702</v>
      </c>
      <c r="T85" s="8">
        <v>0.7397227551650245</v>
      </c>
      <c r="U85" s="7">
        <v>284.5424755201438</v>
      </c>
    </row>
    <row r="86" spans="1:21" x14ac:dyDescent="0.3">
      <c r="A86" s="4">
        <v>28491</v>
      </c>
      <c r="B86" s="12">
        <v>250.06472930000001</v>
      </c>
      <c r="C86" s="12">
        <v>218.08864620979875</v>
      </c>
      <c r="D86" s="5">
        <f t="shared" si="4"/>
        <v>1</v>
      </c>
      <c r="Q86" s="4">
        <v>28491</v>
      </c>
      <c r="R86" s="7">
        <v>299.87788861604793</v>
      </c>
      <c r="S86" s="7">
        <v>349.77961093980781</v>
      </c>
      <c r="T86" s="8">
        <v>0.94804705235653208</v>
      </c>
      <c r="U86" s="7">
        <v>346.15154827636491</v>
      </c>
    </row>
    <row r="87" spans="1:21" x14ac:dyDescent="0.3">
      <c r="A87" s="4">
        <v>28522</v>
      </c>
      <c r="B87" s="12">
        <v>177.1992899</v>
      </c>
      <c r="C87" s="12">
        <v>170.8238043822349</v>
      </c>
      <c r="D87" s="5">
        <f t="shared" si="4"/>
        <v>2</v>
      </c>
      <c r="Q87" s="4">
        <v>28522</v>
      </c>
      <c r="R87" s="7">
        <v>333.82731824215864</v>
      </c>
      <c r="S87" s="7">
        <v>303.42204411063983</v>
      </c>
      <c r="T87" s="8">
        <v>0.89217858926297267</v>
      </c>
      <c r="U87" s="7">
        <v>303.7390675738975</v>
      </c>
    </row>
    <row r="88" spans="1:21" x14ac:dyDescent="0.3">
      <c r="A88" s="4">
        <v>28550</v>
      </c>
      <c r="B88" s="12">
        <v>138.8733671</v>
      </c>
      <c r="C88" s="12">
        <v>46.330046933144388</v>
      </c>
      <c r="D88" s="5">
        <f t="shared" si="4"/>
        <v>3</v>
      </c>
      <c r="Q88" s="4">
        <v>28550</v>
      </c>
      <c r="R88" s="7">
        <v>98.726171621052103</v>
      </c>
      <c r="S88" s="7">
        <v>102.9081754861414</v>
      </c>
      <c r="T88" s="8">
        <v>0.28194164739684791</v>
      </c>
      <c r="U88" s="7">
        <v>102.81359043250056</v>
      </c>
    </row>
    <row r="89" spans="1:21" x14ac:dyDescent="0.3">
      <c r="A89" s="4">
        <v>28581</v>
      </c>
      <c r="B89" s="12">
        <v>185.88511790000001</v>
      </c>
      <c r="C89" s="12">
        <v>35.328433150425518</v>
      </c>
      <c r="D89" s="5">
        <f t="shared" si="4"/>
        <v>4</v>
      </c>
      <c r="Q89" s="4">
        <v>28581</v>
      </c>
      <c r="R89" s="7">
        <v>66.530920665177746</v>
      </c>
      <c r="S89" s="7">
        <v>59.370299625702351</v>
      </c>
      <c r="T89" s="8">
        <v>9.6360384222366424E-2</v>
      </c>
      <c r="U89" s="7">
        <v>59.182388837249356</v>
      </c>
    </row>
    <row r="90" spans="1:21" x14ac:dyDescent="0.3">
      <c r="A90" s="4">
        <v>28611</v>
      </c>
      <c r="B90" s="12">
        <v>77.669840699999995</v>
      </c>
      <c r="C90" s="12">
        <v>82.108736957888993</v>
      </c>
      <c r="D90" s="5">
        <f t="shared" si="4"/>
        <v>5</v>
      </c>
      <c r="Q90" s="4">
        <v>28611</v>
      </c>
      <c r="R90" s="7">
        <v>139.51899458977877</v>
      </c>
      <c r="S90" s="7">
        <v>137.61960326045511</v>
      </c>
      <c r="T90" s="8">
        <v>0.74346320846318537</v>
      </c>
      <c r="U90" s="7">
        <v>136.75477724408947</v>
      </c>
    </row>
    <row r="91" spans="1:21" x14ac:dyDescent="0.3">
      <c r="A91" s="4">
        <v>28642</v>
      </c>
      <c r="B91" s="12">
        <v>20.655076399999999</v>
      </c>
      <c r="C91" s="12">
        <v>11.407962083467281</v>
      </c>
      <c r="D91" s="5">
        <f t="shared" si="4"/>
        <v>6</v>
      </c>
      <c r="Q91" s="4">
        <v>28642</v>
      </c>
      <c r="R91" s="7">
        <v>11.558272897638739</v>
      </c>
      <c r="S91" s="7">
        <v>19.201487643138897</v>
      </c>
      <c r="T91" s="8">
        <v>0.42201154715071376</v>
      </c>
      <c r="U91" s="7">
        <v>20.832761226853798</v>
      </c>
    </row>
    <row r="92" spans="1:21" x14ac:dyDescent="0.3">
      <c r="A92" s="4">
        <v>28672</v>
      </c>
      <c r="B92" s="12">
        <v>10.198183999999999</v>
      </c>
      <c r="C92" s="12">
        <v>27.094032720197006</v>
      </c>
      <c r="D92" s="5">
        <f t="shared" si="4"/>
        <v>7</v>
      </c>
      <c r="Q92" s="4">
        <v>28672</v>
      </c>
      <c r="R92" s="7">
        <v>98.044820271201303</v>
      </c>
      <c r="S92" s="7">
        <v>76.080748695361038</v>
      </c>
      <c r="T92" s="8">
        <v>0.95920304029891068</v>
      </c>
      <c r="U92" s="7">
        <v>74.854216915638574</v>
      </c>
    </row>
    <row r="93" spans="1:21" x14ac:dyDescent="0.3">
      <c r="A93" s="4">
        <v>28703</v>
      </c>
      <c r="B93" s="12">
        <v>4.3186388000000004</v>
      </c>
      <c r="C93" s="12">
        <v>4.9659127118502431</v>
      </c>
      <c r="D93" s="5">
        <f t="shared" si="4"/>
        <v>8</v>
      </c>
      <c r="Q93" s="4">
        <v>28703</v>
      </c>
      <c r="R93" s="7">
        <v>27.008711278706215</v>
      </c>
      <c r="S93" s="7">
        <v>43.855492953062054</v>
      </c>
      <c r="T93" s="8">
        <v>0.62926717944420785</v>
      </c>
      <c r="U93" s="7">
        <v>34.767726017244215</v>
      </c>
    </row>
    <row r="94" spans="1:21" x14ac:dyDescent="0.3">
      <c r="A94" s="4">
        <v>28734</v>
      </c>
      <c r="B94" s="12">
        <v>167.88822149999999</v>
      </c>
      <c r="C94" s="12">
        <v>11.761758680222558</v>
      </c>
      <c r="D94" s="5">
        <f t="shared" si="4"/>
        <v>9</v>
      </c>
      <c r="Q94" s="4">
        <v>28734</v>
      </c>
      <c r="R94" s="7">
        <v>39.411721569439969</v>
      </c>
      <c r="S94" s="7">
        <v>53.648924914863997</v>
      </c>
      <c r="T94" s="8">
        <v>0.53857206377257105</v>
      </c>
      <c r="U94" s="7">
        <v>51.71811693314951</v>
      </c>
    </row>
    <row r="95" spans="1:21" x14ac:dyDescent="0.3">
      <c r="A95" s="4">
        <v>28764</v>
      </c>
      <c r="B95" s="12">
        <v>93.682577600000002</v>
      </c>
      <c r="C95" s="12">
        <v>47.013683337718156</v>
      </c>
      <c r="D95" s="5">
        <f t="shared" si="4"/>
        <v>10</v>
      </c>
      <c r="Q95" s="4">
        <v>28764</v>
      </c>
      <c r="R95" s="7">
        <v>115.39121961106137</v>
      </c>
      <c r="S95" s="7">
        <v>149.66836455220326</v>
      </c>
      <c r="T95" s="8">
        <v>0.46272478156043656</v>
      </c>
      <c r="U95" s="7">
        <v>147.0924425954681</v>
      </c>
    </row>
    <row r="96" spans="1:21" x14ac:dyDescent="0.3">
      <c r="A96" s="4">
        <v>28795</v>
      </c>
      <c r="B96" s="12">
        <v>92.523060000000001</v>
      </c>
      <c r="C96" s="12">
        <v>82.724996376782755</v>
      </c>
      <c r="D96" s="5">
        <f t="shared" si="4"/>
        <v>11</v>
      </c>
      <c r="Q96" s="4">
        <v>28795</v>
      </c>
      <c r="R96" s="7">
        <v>179.2919601294661</v>
      </c>
      <c r="S96" s="7">
        <v>198.56097354676803</v>
      </c>
      <c r="T96" s="8">
        <v>0.48788302702117964</v>
      </c>
      <c r="U96" s="7">
        <v>194.50187917916884</v>
      </c>
    </row>
    <row r="97" spans="1:21" x14ac:dyDescent="0.3">
      <c r="A97" s="4">
        <v>28825</v>
      </c>
      <c r="B97" s="12">
        <v>261.52475820000001</v>
      </c>
      <c r="C97" s="12">
        <v>27.311359622399408</v>
      </c>
      <c r="D97" s="5">
        <f t="shared" si="4"/>
        <v>12</v>
      </c>
      <c r="Q97" s="4">
        <v>28825</v>
      </c>
      <c r="R97" s="7">
        <v>57.619727675642871</v>
      </c>
      <c r="S97" s="7">
        <v>73.115898155860464</v>
      </c>
      <c r="T97" s="8">
        <v>1.5295815906452129E-2</v>
      </c>
      <c r="U97" s="7">
        <v>73.149059733056788</v>
      </c>
    </row>
    <row r="98" spans="1:21" x14ac:dyDescent="0.3">
      <c r="A98" s="4">
        <v>28856</v>
      </c>
      <c r="B98" s="12">
        <v>324.18182860000002</v>
      </c>
      <c r="C98" s="12">
        <v>52.615979412803377</v>
      </c>
      <c r="D98" s="5">
        <f t="shared" si="4"/>
        <v>1</v>
      </c>
      <c r="Q98" s="4">
        <v>28856</v>
      </c>
      <c r="R98" s="7">
        <v>72.348419268916516</v>
      </c>
      <c r="S98" s="7">
        <v>53.63081230072082</v>
      </c>
      <c r="T98" s="8">
        <v>8.2915456557869624E-2</v>
      </c>
      <c r="U98" s="7">
        <v>51.695967069318641</v>
      </c>
    </row>
    <row r="99" spans="1:21" x14ac:dyDescent="0.3">
      <c r="A99" s="4">
        <v>28887</v>
      </c>
      <c r="B99" s="12">
        <v>308.90201089999999</v>
      </c>
      <c r="C99" s="12">
        <v>231.25138850882647</v>
      </c>
      <c r="D99" s="5">
        <f t="shared" si="4"/>
        <v>2</v>
      </c>
      <c r="Q99" s="4">
        <v>28887</v>
      </c>
      <c r="R99" s="7">
        <v>451.91611991581084</v>
      </c>
      <c r="S99" s="7">
        <v>383.63841972536761</v>
      </c>
      <c r="T99" s="8">
        <v>0.9727863369229971</v>
      </c>
      <c r="U99" s="7">
        <v>388.96142119247594</v>
      </c>
    </row>
    <row r="100" spans="1:21" x14ac:dyDescent="0.3">
      <c r="A100" s="4">
        <v>28915</v>
      </c>
      <c r="B100" s="12">
        <v>113.0208131</v>
      </c>
      <c r="C100" s="12">
        <v>150.74281134875491</v>
      </c>
      <c r="D100" s="5">
        <f t="shared" si="4"/>
        <v>3</v>
      </c>
      <c r="Q100" s="4">
        <v>28915</v>
      </c>
      <c r="R100" s="7">
        <v>321.22265460539239</v>
      </c>
      <c r="S100" s="7">
        <v>305.91118175051849</v>
      </c>
      <c r="T100" s="8">
        <v>0.96599079255160969</v>
      </c>
      <c r="U100" s="7">
        <v>307.12542572753176</v>
      </c>
    </row>
    <row r="101" spans="1:21" x14ac:dyDescent="0.3">
      <c r="A101" s="4">
        <v>28946</v>
      </c>
      <c r="B101" s="12">
        <v>246.16427759999999</v>
      </c>
      <c r="C101" s="12">
        <v>84.951994707807856</v>
      </c>
      <c r="D101" s="5">
        <f t="shared" si="4"/>
        <v>4</v>
      </c>
      <c r="Q101" s="4">
        <v>28946</v>
      </c>
      <c r="R101" s="7">
        <v>159.98259521412399</v>
      </c>
      <c r="S101" s="7">
        <v>160.18212203540111</v>
      </c>
      <c r="T101" s="8">
        <v>0.66698635410483875</v>
      </c>
      <c r="U101" s="7">
        <v>160.91019898319419</v>
      </c>
    </row>
    <row r="102" spans="1:21" x14ac:dyDescent="0.3">
      <c r="A102" s="4">
        <v>28976</v>
      </c>
      <c r="B102" s="12">
        <v>211.8117077</v>
      </c>
      <c r="C102" s="12">
        <v>21.394382280414003</v>
      </c>
      <c r="D102" s="5">
        <f t="shared" si="4"/>
        <v>5</v>
      </c>
      <c r="Q102" s="4">
        <v>28976</v>
      </c>
      <c r="R102" s="7">
        <v>36.353289749952111</v>
      </c>
      <c r="S102" s="7">
        <v>44.068145038809028</v>
      </c>
      <c r="T102" s="8">
        <v>0.13053936463025964</v>
      </c>
      <c r="U102" s="7">
        <v>43.958896850317323</v>
      </c>
    </row>
    <row r="103" spans="1:21" x14ac:dyDescent="0.3">
      <c r="A103" s="4">
        <v>29007</v>
      </c>
      <c r="B103" s="12">
        <v>31.2156746</v>
      </c>
      <c r="C103" s="12">
        <v>8.5918693221174092</v>
      </c>
      <c r="D103" s="5">
        <f t="shared" si="4"/>
        <v>6</v>
      </c>
      <c r="Q103" s="4">
        <v>29007</v>
      </c>
      <c r="R103" s="7">
        <v>8.705075420070159</v>
      </c>
      <c r="S103" s="7">
        <v>16.094255234168283</v>
      </c>
      <c r="T103" s="8">
        <v>0.36272633671563592</v>
      </c>
      <c r="U103" s="7">
        <v>18.125978589220892</v>
      </c>
    </row>
    <row r="104" spans="1:21" x14ac:dyDescent="0.3">
      <c r="A104" s="4">
        <v>29037</v>
      </c>
      <c r="B104" s="12">
        <v>64.799835000000002</v>
      </c>
      <c r="C104" s="12">
        <v>9.7648571463651006</v>
      </c>
      <c r="D104" s="5">
        <f t="shared" si="4"/>
        <v>7</v>
      </c>
      <c r="Q104" s="4">
        <v>29037</v>
      </c>
      <c r="R104" s="7">
        <v>35.335960274959042</v>
      </c>
      <c r="S104" s="7">
        <v>36.325443591103351</v>
      </c>
      <c r="T104" s="8">
        <v>0.74917839323060953</v>
      </c>
      <c r="U104" s="7">
        <v>35.658342523329566</v>
      </c>
    </row>
    <row r="105" spans="1:21" x14ac:dyDescent="0.3">
      <c r="A105" s="4">
        <v>29068</v>
      </c>
      <c r="B105" s="12">
        <v>23.737748400000001</v>
      </c>
      <c r="C105" s="12">
        <v>24.441930768080056</v>
      </c>
      <c r="D105" s="5">
        <f t="shared" si="4"/>
        <v>8</v>
      </c>
      <c r="Q105" s="4">
        <v>29068</v>
      </c>
      <c r="R105" s="7">
        <v>132.93529095545412</v>
      </c>
      <c r="S105" s="7">
        <v>69.015649467453329</v>
      </c>
      <c r="T105" s="8">
        <v>0.95894830319717428</v>
      </c>
      <c r="U105" s="7">
        <v>83.21661935712271</v>
      </c>
    </row>
    <row r="106" spans="1:21" x14ac:dyDescent="0.3">
      <c r="A106" s="4">
        <v>29099</v>
      </c>
      <c r="B106" s="12">
        <v>30.0098235</v>
      </c>
      <c r="C106" s="12">
        <v>5.996866282657721</v>
      </c>
      <c r="D106" s="5">
        <f t="shared" si="4"/>
        <v>9</v>
      </c>
      <c r="Q106" s="4">
        <v>29099</v>
      </c>
      <c r="R106" s="7">
        <v>20.094513979332586</v>
      </c>
      <c r="S106" s="7">
        <v>35.354697897856191</v>
      </c>
      <c r="T106" s="8">
        <v>0.36741421239017552</v>
      </c>
      <c r="U106" s="7">
        <v>35.275672437260745</v>
      </c>
    </row>
    <row r="107" spans="1:21" x14ac:dyDescent="0.3">
      <c r="A107" s="4">
        <v>29129</v>
      </c>
      <c r="B107" s="12">
        <v>309.46894900000001</v>
      </c>
      <c r="C107" s="12">
        <v>5.2424905181396877</v>
      </c>
      <c r="D107" s="5">
        <f t="shared" si="4"/>
        <v>10</v>
      </c>
      <c r="Q107" s="4">
        <v>29129</v>
      </c>
      <c r="R107" s="7">
        <v>12.86726186378667</v>
      </c>
      <c r="S107" s="7">
        <v>42.318318282027434</v>
      </c>
      <c r="T107" s="8">
        <v>4.6545068752352863E-2</v>
      </c>
      <c r="U107" s="7">
        <v>51.656668761193409</v>
      </c>
    </row>
    <row r="108" spans="1:21" x14ac:dyDescent="0.3">
      <c r="A108" s="4">
        <v>29160</v>
      </c>
      <c r="B108" s="12">
        <v>158.10704319999999</v>
      </c>
      <c r="C108" s="12">
        <v>27.06681107520118</v>
      </c>
      <c r="D108" s="5">
        <f t="shared" si="4"/>
        <v>11</v>
      </c>
      <c r="Q108" s="4">
        <v>29160</v>
      </c>
      <c r="R108" s="7">
        <v>58.662578720749821</v>
      </c>
      <c r="S108" s="7">
        <v>101.5517145879549</v>
      </c>
      <c r="T108" s="8">
        <v>6.2867367041582703E-2</v>
      </c>
      <c r="U108" s="7">
        <v>101.75858297552317</v>
      </c>
    </row>
    <row r="109" spans="1:21" x14ac:dyDescent="0.3">
      <c r="A109" s="4">
        <v>29190</v>
      </c>
      <c r="B109" s="12">
        <v>298.53266559999997</v>
      </c>
      <c r="C109" s="12">
        <v>118.65100285504015</v>
      </c>
      <c r="D109" s="5">
        <f t="shared" si="4"/>
        <v>12</v>
      </c>
      <c r="Q109" s="4">
        <v>29190</v>
      </c>
      <c r="R109" s="7">
        <v>250.32215779335533</v>
      </c>
      <c r="S109" s="7">
        <v>251.47845712888125</v>
      </c>
      <c r="T109" s="8">
        <v>0.62568680580610858</v>
      </c>
      <c r="U109" s="7">
        <v>250.02311467985123</v>
      </c>
    </row>
    <row r="110" spans="1:21" x14ac:dyDescent="0.3">
      <c r="A110" s="4">
        <v>29221</v>
      </c>
      <c r="B110" s="12">
        <v>213.84608180000001</v>
      </c>
      <c r="C110" s="12">
        <v>120.58104795869441</v>
      </c>
      <c r="D110" s="5">
        <f t="shared" si="4"/>
        <v>1</v>
      </c>
      <c r="Q110" s="4">
        <v>29221</v>
      </c>
      <c r="R110" s="7">
        <v>165.80225838156926</v>
      </c>
      <c r="S110" s="7">
        <v>160.10160825027941</v>
      </c>
      <c r="T110" s="8">
        <v>0.57832534701927818</v>
      </c>
      <c r="U110" s="7">
        <v>162.10121884409804</v>
      </c>
    </row>
    <row r="111" spans="1:21" x14ac:dyDescent="0.3">
      <c r="A111" s="4">
        <v>29252</v>
      </c>
      <c r="B111" s="12">
        <v>110.5005215</v>
      </c>
      <c r="C111" s="12">
        <v>33.321051159873718</v>
      </c>
      <c r="D111" s="5">
        <f t="shared" si="4"/>
        <v>2</v>
      </c>
      <c r="Q111" s="4">
        <v>29252</v>
      </c>
      <c r="R111" s="7">
        <v>65.11666913131468</v>
      </c>
      <c r="S111" s="7">
        <v>85.56222520680285</v>
      </c>
      <c r="T111" s="8">
        <v>7.265893188878042E-2</v>
      </c>
      <c r="U111" s="7">
        <v>87.512041017512573</v>
      </c>
    </row>
    <row r="112" spans="1:21" x14ac:dyDescent="0.3">
      <c r="A112" s="4">
        <v>29281</v>
      </c>
      <c r="B112" s="12">
        <v>241.72456159999999</v>
      </c>
      <c r="C112" s="12">
        <v>72.418366314377607</v>
      </c>
      <c r="D112" s="5">
        <f t="shared" si="4"/>
        <v>3</v>
      </c>
      <c r="Q112" s="4">
        <v>29281</v>
      </c>
      <c r="R112" s="7">
        <v>154.31860173995778</v>
      </c>
      <c r="S112" s="7">
        <v>155.44755511997468</v>
      </c>
      <c r="T112" s="8">
        <v>0.58751199256733511</v>
      </c>
      <c r="U112" s="7">
        <v>155.00510335260648</v>
      </c>
    </row>
    <row r="113" spans="1:21" x14ac:dyDescent="0.3">
      <c r="A113" s="4">
        <v>29312</v>
      </c>
      <c r="B113" s="12">
        <v>97.134250300000005</v>
      </c>
      <c r="C113" s="12">
        <v>70.220684108790024</v>
      </c>
      <c r="D113" s="5">
        <f t="shared" si="4"/>
        <v>4</v>
      </c>
      <c r="Q113" s="4">
        <v>29312</v>
      </c>
      <c r="R113" s="7">
        <v>132.2404178980733</v>
      </c>
      <c r="S113" s="7">
        <v>129.13790547547819</v>
      </c>
      <c r="T113" s="8">
        <v>0.5050936381041311</v>
      </c>
      <c r="U113" s="7">
        <v>129.89875570908012</v>
      </c>
    </row>
    <row r="114" spans="1:21" x14ac:dyDescent="0.3">
      <c r="A114" s="4">
        <v>29342</v>
      </c>
      <c r="B114" s="12">
        <v>130.82885669999999</v>
      </c>
      <c r="C114" s="12">
        <v>41.185902227880327</v>
      </c>
      <c r="D114" s="5">
        <f t="shared" si="4"/>
        <v>5</v>
      </c>
      <c r="Q114" s="4">
        <v>29342</v>
      </c>
      <c r="R114" s="7">
        <v>69.982999166749408</v>
      </c>
      <c r="S114" s="7">
        <v>76.731013149862619</v>
      </c>
      <c r="T114" s="8">
        <v>0.36320804525976147</v>
      </c>
      <c r="U114" s="7">
        <v>75.763525288400814</v>
      </c>
    </row>
    <row r="115" spans="1:21" x14ac:dyDescent="0.3">
      <c r="A115" s="4">
        <v>29373</v>
      </c>
      <c r="B115" s="12">
        <v>26.610938699999998</v>
      </c>
      <c r="C115" s="12">
        <v>173.60665113665172</v>
      </c>
      <c r="D115" s="5">
        <f t="shared" si="4"/>
        <v>6</v>
      </c>
      <c r="Q115" s="4">
        <v>29373</v>
      </c>
      <c r="R115" s="7">
        <v>175.89408485066696</v>
      </c>
      <c r="S115" s="7">
        <v>104.60676398723584</v>
      </c>
      <c r="T115" s="8">
        <v>0.98861153577027672</v>
      </c>
      <c r="U115" s="7">
        <v>106.33722909822495</v>
      </c>
    </row>
    <row r="116" spans="1:21" x14ac:dyDescent="0.3">
      <c r="A116" s="4">
        <v>29403</v>
      </c>
      <c r="B116" s="12">
        <v>1.63548</v>
      </c>
      <c r="C116" s="12">
        <v>5.3670969187805904</v>
      </c>
      <c r="D116" s="5">
        <f t="shared" si="4"/>
        <v>7</v>
      </c>
      <c r="Q116" s="4">
        <v>29403</v>
      </c>
      <c r="R116" s="7">
        <v>19.421843112623769</v>
      </c>
      <c r="S116" s="7">
        <v>23.546033967521456</v>
      </c>
      <c r="T116" s="8">
        <v>0.58046040670835253</v>
      </c>
      <c r="U116" s="7">
        <v>23.921172469313284</v>
      </c>
    </row>
    <row r="117" spans="1:21" x14ac:dyDescent="0.3">
      <c r="A117" s="4">
        <v>29434</v>
      </c>
      <c r="B117" s="12">
        <v>18.916799699999999</v>
      </c>
      <c r="C117" s="12">
        <v>10.660734104749267</v>
      </c>
      <c r="D117" s="5">
        <f t="shared" si="4"/>
        <v>8</v>
      </c>
      <c r="Q117" s="4">
        <v>29434</v>
      </c>
      <c r="R117" s="7">
        <v>57.981826536566139</v>
      </c>
      <c r="S117" s="7">
        <v>54.503306950087278</v>
      </c>
      <c r="T117" s="8">
        <v>0.81718397337213555</v>
      </c>
      <c r="U117" s="7">
        <v>51.336636959250981</v>
      </c>
    </row>
    <row r="118" spans="1:21" x14ac:dyDescent="0.3">
      <c r="A118" s="4">
        <v>29465</v>
      </c>
      <c r="B118" s="12">
        <v>25.931323899999999</v>
      </c>
      <c r="C118" s="12">
        <v>2.1202767475188016</v>
      </c>
      <c r="D118" s="5">
        <f t="shared" si="4"/>
        <v>9</v>
      </c>
      <c r="Q118" s="4">
        <v>29465</v>
      </c>
      <c r="R118" s="7">
        <v>7.1046991436647602</v>
      </c>
      <c r="S118" s="7">
        <v>18.57409493411798</v>
      </c>
      <c r="T118" s="8">
        <v>0.18935822714937936</v>
      </c>
      <c r="U118" s="7">
        <v>20.434461582011831</v>
      </c>
    </row>
    <row r="119" spans="1:21" x14ac:dyDescent="0.3">
      <c r="A119" s="4">
        <v>29495</v>
      </c>
      <c r="B119" s="12">
        <v>325.60627670000002</v>
      </c>
      <c r="C119" s="12">
        <v>47.62250559870143</v>
      </c>
      <c r="D119" s="5">
        <f t="shared" si="4"/>
        <v>10</v>
      </c>
      <c r="Q119" s="4">
        <v>29495</v>
      </c>
      <c r="R119" s="7">
        <v>116.8855237845202</v>
      </c>
      <c r="S119" s="7">
        <v>150.78141844378527</v>
      </c>
      <c r="T119" s="8">
        <v>0.46761341336615697</v>
      </c>
      <c r="U119" s="7">
        <v>148.11737270121435</v>
      </c>
    </row>
    <row r="120" spans="1:21" x14ac:dyDescent="0.3">
      <c r="A120" s="4">
        <v>29526</v>
      </c>
      <c r="B120" s="12">
        <v>202.01087469999999</v>
      </c>
      <c r="C120" s="12">
        <v>129.79704793542638</v>
      </c>
      <c r="D120" s="5">
        <f t="shared" si="4"/>
        <v>11</v>
      </c>
      <c r="Q120" s="4">
        <v>29526</v>
      </c>
      <c r="R120" s="7">
        <v>281.31239846016081</v>
      </c>
      <c r="S120" s="7">
        <v>260.19906951406006</v>
      </c>
      <c r="T120" s="8">
        <v>0.77012075731766994</v>
      </c>
      <c r="U120" s="7">
        <v>258.93018552087943</v>
      </c>
    </row>
    <row r="121" spans="1:21" x14ac:dyDescent="0.3">
      <c r="A121" s="4">
        <v>29556</v>
      </c>
      <c r="B121" s="12">
        <v>350.08974749999999</v>
      </c>
      <c r="C121" s="12">
        <v>176.17331582587221</v>
      </c>
      <c r="D121" s="5">
        <f t="shared" si="4"/>
        <v>12</v>
      </c>
      <c r="Q121" s="4">
        <v>29556</v>
      </c>
      <c r="R121" s="7">
        <v>371.67898713019002</v>
      </c>
      <c r="S121" s="7">
        <v>350.64840981359026</v>
      </c>
      <c r="T121" s="8">
        <v>0.8871725843424354</v>
      </c>
      <c r="U121" s="7">
        <v>352.89797059357858</v>
      </c>
    </row>
    <row r="122" spans="1:21" x14ac:dyDescent="0.3">
      <c r="A122" s="4">
        <v>29587</v>
      </c>
      <c r="B122" s="12">
        <v>257.61639930000001</v>
      </c>
      <c r="C122" s="12">
        <v>44.463863759301717</v>
      </c>
      <c r="D122" s="5">
        <f t="shared" si="4"/>
        <v>1</v>
      </c>
      <c r="Q122" s="4">
        <v>29587</v>
      </c>
      <c r="R122" s="7">
        <v>61.139035963495857</v>
      </c>
      <c r="S122" s="7">
        <v>42.953267258205216</v>
      </c>
      <c r="T122" s="8">
        <v>4.8271742590647045E-2</v>
      </c>
      <c r="U122" s="7">
        <v>40.514900845673672</v>
      </c>
    </row>
    <row r="123" spans="1:21" x14ac:dyDescent="0.3">
      <c r="A123" s="4">
        <v>29618</v>
      </c>
      <c r="B123" s="12">
        <v>229.90035789999999</v>
      </c>
      <c r="C123" s="12">
        <v>139.32238225825134</v>
      </c>
      <c r="D123" s="5">
        <f t="shared" si="4"/>
        <v>2</v>
      </c>
      <c r="Q123" s="4">
        <v>29618</v>
      </c>
      <c r="R123" s="7">
        <v>272.26660481294016</v>
      </c>
      <c r="S123" s="7">
        <v>259.10890459848986</v>
      </c>
      <c r="T123" s="8">
        <v>0.79327890509911281</v>
      </c>
      <c r="U123" s="7">
        <v>257.96149187567994</v>
      </c>
    </row>
    <row r="124" spans="1:21" x14ac:dyDescent="0.3">
      <c r="A124" s="4">
        <v>29646</v>
      </c>
      <c r="B124" s="12">
        <v>57.142262500000001</v>
      </c>
      <c r="C124" s="12">
        <v>61.019377241609732</v>
      </c>
      <c r="D124" s="5">
        <f t="shared" si="4"/>
        <v>3</v>
      </c>
      <c r="Q124" s="4">
        <v>29646</v>
      </c>
      <c r="R124" s="7">
        <v>130.02813311322549</v>
      </c>
      <c r="S124" s="7">
        <v>132.70818273792861</v>
      </c>
      <c r="T124" s="8">
        <v>0.46073643376686263</v>
      </c>
      <c r="U124" s="7">
        <v>132.357523901901</v>
      </c>
    </row>
    <row r="125" spans="1:21" x14ac:dyDescent="0.3">
      <c r="A125" s="4">
        <v>29677</v>
      </c>
      <c r="B125" s="12">
        <v>152.03965389999999</v>
      </c>
      <c r="C125" s="12">
        <v>81.385657307691886</v>
      </c>
      <c r="D125" s="5">
        <f t="shared" si="4"/>
        <v>4</v>
      </c>
      <c r="Q125" s="4">
        <v>29677</v>
      </c>
      <c r="R125" s="7">
        <v>153.26642669280608</v>
      </c>
      <c r="S125" s="7">
        <v>152.59649202407891</v>
      </c>
      <c r="T125" s="8">
        <v>0.63116340812194682</v>
      </c>
      <c r="U125" s="7">
        <v>153.35869629073144</v>
      </c>
    </row>
    <row r="126" spans="1:21" x14ac:dyDescent="0.3">
      <c r="A126" s="4">
        <v>29707</v>
      </c>
      <c r="B126" s="12">
        <v>113.5210194</v>
      </c>
      <c r="C126" s="12">
        <v>105.44484491692863</v>
      </c>
      <c r="D126" s="5">
        <f t="shared" si="4"/>
        <v>5</v>
      </c>
      <c r="Q126" s="4">
        <v>29707</v>
      </c>
      <c r="R126" s="7">
        <v>179.17166056311552</v>
      </c>
      <c r="S126" s="7">
        <v>170.08407815125506</v>
      </c>
      <c r="T126" s="8">
        <v>0.85999251054012404</v>
      </c>
      <c r="U126" s="7">
        <v>170.19866680396126</v>
      </c>
    </row>
    <row r="127" spans="1:21" x14ac:dyDescent="0.3">
      <c r="A127" s="4">
        <v>29738</v>
      </c>
      <c r="B127" s="12">
        <v>20.604611500000001</v>
      </c>
      <c r="C127" s="12">
        <v>65.559697395656187</v>
      </c>
      <c r="D127" s="5">
        <f t="shared" si="4"/>
        <v>6</v>
      </c>
      <c r="Q127" s="4">
        <v>29738</v>
      </c>
      <c r="R127" s="7">
        <v>66.423509128222932</v>
      </c>
      <c r="S127" s="7">
        <v>57.044294337692193</v>
      </c>
      <c r="T127" s="8">
        <v>0.86550112918289634</v>
      </c>
      <c r="U127" s="7">
        <v>55.209112994023535</v>
      </c>
    </row>
    <row r="128" spans="1:21" x14ac:dyDescent="0.3">
      <c r="A128" s="4">
        <v>29768</v>
      </c>
      <c r="B128" s="12">
        <v>4.1861344999999996</v>
      </c>
      <c r="C128" s="12">
        <v>5.4567614701227205</v>
      </c>
      <c r="D128" s="5">
        <f t="shared" si="4"/>
        <v>7</v>
      </c>
      <c r="Q128" s="4">
        <v>29768</v>
      </c>
      <c r="R128" s="7">
        <v>19.74631104664541</v>
      </c>
      <c r="S128" s="7">
        <v>23.83034210827968</v>
      </c>
      <c r="T128" s="8">
        <v>0.58506785238617642</v>
      </c>
      <c r="U128" s="7">
        <v>24.17931254813131</v>
      </c>
    </row>
    <row r="129" spans="1:21" x14ac:dyDescent="0.3">
      <c r="A129" s="4">
        <v>29799</v>
      </c>
      <c r="B129" s="12">
        <v>57.942728199999998</v>
      </c>
      <c r="C129" s="12">
        <v>2.8714414749941731E-3</v>
      </c>
      <c r="D129" s="5">
        <f t="shared" si="4"/>
        <v>8</v>
      </c>
      <c r="Q129" s="4">
        <v>29799</v>
      </c>
      <c r="R129" s="7">
        <v>1.5617256736460881E-2</v>
      </c>
      <c r="S129" s="7">
        <v>5.257645782401732</v>
      </c>
      <c r="T129" s="8">
        <v>1.3524022576743421E-2</v>
      </c>
      <c r="U129" s="7">
        <v>2.5161960769864784</v>
      </c>
    </row>
    <row r="130" spans="1:21" x14ac:dyDescent="0.3">
      <c r="A130" s="4">
        <v>29830</v>
      </c>
      <c r="B130" s="12">
        <v>39.955255299999997</v>
      </c>
      <c r="C130" s="12">
        <v>8.9957696292053345E-5</v>
      </c>
      <c r="D130" s="5">
        <f t="shared" si="4"/>
        <v>9</v>
      </c>
      <c r="Q130" s="4">
        <v>29830</v>
      </c>
      <c r="R130" s="7">
        <v>3.0143346549459744E-4</v>
      </c>
      <c r="S130" s="7">
        <v>3.6477133251020796E-2</v>
      </c>
      <c r="T130" s="8">
        <v>1.7780109164448294E-4</v>
      </c>
      <c r="U130" s="7">
        <v>0.24040329047331033</v>
      </c>
    </row>
    <row r="131" spans="1:21" x14ac:dyDescent="0.3">
      <c r="A131" s="4">
        <v>29860</v>
      </c>
      <c r="B131" s="12">
        <v>102.8811611</v>
      </c>
      <c r="C131" s="12">
        <v>47.004743252182301</v>
      </c>
      <c r="D131" s="5">
        <f t="shared" ref="D131:D194" si="5">MONTH(A131)</f>
        <v>10</v>
      </c>
      <c r="Q131" s="4">
        <v>29860</v>
      </c>
      <c r="R131" s="7">
        <v>115.36927690629607</v>
      </c>
      <c r="S131" s="7">
        <v>149.65197481700423</v>
      </c>
      <c r="T131" s="8">
        <v>0.46265271001207681</v>
      </c>
      <c r="U131" s="7">
        <v>147.07735990955808</v>
      </c>
    </row>
    <row r="132" spans="1:21" x14ac:dyDescent="0.3">
      <c r="A132" s="4">
        <v>29891</v>
      </c>
      <c r="B132" s="12">
        <v>98.114915199999999</v>
      </c>
      <c r="C132" s="12">
        <v>116.93094391375782</v>
      </c>
      <c r="D132" s="5">
        <f t="shared" si="5"/>
        <v>11</v>
      </c>
      <c r="Q132" s="4">
        <v>29891</v>
      </c>
      <c r="R132" s="7">
        <v>253.42736841714978</v>
      </c>
      <c r="S132" s="7">
        <v>244.39730351100596</v>
      </c>
      <c r="T132" s="8">
        <v>0.70893230843279431</v>
      </c>
      <c r="U132" s="7">
        <v>241.97471970910561</v>
      </c>
    </row>
    <row r="133" spans="1:21" x14ac:dyDescent="0.3">
      <c r="A133" s="4">
        <v>29921</v>
      </c>
      <c r="B133" s="12">
        <v>449.20146499999998</v>
      </c>
      <c r="C133" s="12">
        <v>118.80613648099825</v>
      </c>
      <c r="D133" s="5">
        <f t="shared" si="5"/>
        <v>12</v>
      </c>
      <c r="Q133" s="4">
        <v>29921</v>
      </c>
      <c r="R133" s="7">
        <v>250.649448613169</v>
      </c>
      <c r="S133" s="7">
        <v>251.75494702139886</v>
      </c>
      <c r="T133" s="8">
        <v>0.62672864397838124</v>
      </c>
      <c r="U133" s="7">
        <v>250.3055277940625</v>
      </c>
    </row>
    <row r="134" spans="1:21" x14ac:dyDescent="0.3">
      <c r="A134" s="4">
        <v>29952</v>
      </c>
      <c r="B134" s="12">
        <v>64.802030999999999</v>
      </c>
      <c r="C134" s="12">
        <v>170.81481856293968</v>
      </c>
      <c r="D134" s="5">
        <f t="shared" si="5"/>
        <v>1</v>
      </c>
      <c r="Q134" s="4">
        <v>29952</v>
      </c>
      <c r="R134" s="7">
        <v>234.87507499914125</v>
      </c>
      <c r="S134" s="7">
        <v>253.4310154419928</v>
      </c>
      <c r="T134" s="8">
        <v>0.84156938738288789</v>
      </c>
      <c r="U134" s="7">
        <v>254.58774347359599</v>
      </c>
    </row>
    <row r="135" spans="1:21" x14ac:dyDescent="0.3">
      <c r="A135" s="4">
        <v>29983</v>
      </c>
      <c r="B135" s="12">
        <v>162.68020329999999</v>
      </c>
      <c r="C135" s="12">
        <v>65.539683611132219</v>
      </c>
      <c r="D135" s="5">
        <f t="shared" si="5"/>
        <v>2</v>
      </c>
      <c r="Q135" s="4">
        <v>29983</v>
      </c>
      <c r="R135" s="7">
        <v>128.0789694238841</v>
      </c>
      <c r="S135" s="7">
        <v>144.48403621533234</v>
      </c>
      <c r="T135" s="8">
        <v>0.3064705581268205</v>
      </c>
      <c r="U135" s="7">
        <v>143.93541712853437</v>
      </c>
    </row>
    <row r="136" spans="1:21" x14ac:dyDescent="0.3">
      <c r="A136" s="4">
        <v>30011</v>
      </c>
      <c r="B136" s="12">
        <v>230.97176329999999</v>
      </c>
      <c r="C136" s="12">
        <v>125.63199653523043</v>
      </c>
      <c r="D136" s="5">
        <f t="shared" si="5"/>
        <v>3</v>
      </c>
      <c r="Q136" s="4">
        <v>30011</v>
      </c>
      <c r="R136" s="7">
        <v>267.71322008222251</v>
      </c>
      <c r="S136" s="7">
        <v>258.53410642474165</v>
      </c>
      <c r="T136" s="8">
        <v>0.91714280432176443</v>
      </c>
      <c r="U136" s="7">
        <v>258.81957457233426</v>
      </c>
    </row>
    <row r="137" spans="1:21" x14ac:dyDescent="0.3">
      <c r="A137" s="4">
        <v>30042</v>
      </c>
      <c r="B137" s="12">
        <v>83.452341099999998</v>
      </c>
      <c r="C137" s="12">
        <v>105.70223105605703</v>
      </c>
      <c r="D137" s="5">
        <f t="shared" si="5"/>
        <v>4</v>
      </c>
      <c r="Q137" s="4">
        <v>30042</v>
      </c>
      <c r="R137" s="7">
        <v>199.05968426562146</v>
      </c>
      <c r="S137" s="7">
        <v>205.10552866727537</v>
      </c>
      <c r="T137" s="8">
        <v>0.82816433295484926</v>
      </c>
      <c r="U137" s="7">
        <v>205.30040593968423</v>
      </c>
    </row>
    <row r="138" spans="1:21" x14ac:dyDescent="0.3">
      <c r="A138" s="4">
        <v>30072</v>
      </c>
      <c r="B138" s="12">
        <v>109.79317899999999</v>
      </c>
      <c r="C138" s="12">
        <v>39.722290862118783</v>
      </c>
      <c r="D138" s="5">
        <f t="shared" si="5"/>
        <v>5</v>
      </c>
      <c r="Q138" s="4">
        <v>30072</v>
      </c>
      <c r="R138" s="7">
        <v>67.496033786610241</v>
      </c>
      <c r="S138" s="7">
        <v>74.415851076375262</v>
      </c>
      <c r="T138" s="8">
        <v>0.34580877907967794</v>
      </c>
      <c r="U138" s="7">
        <v>73.489905576648511</v>
      </c>
    </row>
    <row r="139" spans="1:21" x14ac:dyDescent="0.3">
      <c r="A139" s="4">
        <v>30103</v>
      </c>
      <c r="B139" s="12">
        <v>21.7297835</v>
      </c>
      <c r="C139" s="12">
        <v>10.563674455625003</v>
      </c>
      <c r="D139" s="5">
        <f t="shared" si="5"/>
        <v>6</v>
      </c>
      <c r="Q139" s="4">
        <v>30103</v>
      </c>
      <c r="R139" s="7">
        <v>10.702860972590059</v>
      </c>
      <c r="S139" s="7">
        <v>18.303825007700063</v>
      </c>
      <c r="T139" s="8">
        <v>0.40525975224968569</v>
      </c>
      <c r="U139" s="7">
        <v>20.052596760415856</v>
      </c>
    </row>
    <row r="140" spans="1:21" x14ac:dyDescent="0.3">
      <c r="A140" s="4">
        <v>30133</v>
      </c>
      <c r="B140" s="12">
        <v>13.1836977</v>
      </c>
      <c r="C140" s="12">
        <v>3.0165322372340602</v>
      </c>
      <c r="D140" s="5">
        <f t="shared" si="5"/>
        <v>7</v>
      </c>
      <c r="Q140" s="4">
        <v>30133</v>
      </c>
      <c r="R140" s="7">
        <v>10.915885578798685</v>
      </c>
      <c r="S140" s="7">
        <v>15.511283916299782</v>
      </c>
      <c r="T140" s="8">
        <v>0.43116288905975364</v>
      </c>
      <c r="U140" s="7">
        <v>16.63656213576526</v>
      </c>
    </row>
    <row r="141" spans="1:21" x14ac:dyDescent="0.3">
      <c r="A141" s="4">
        <v>30164</v>
      </c>
      <c r="B141" s="12">
        <v>25.683597500000001</v>
      </c>
      <c r="C141" s="12">
        <v>18.413419160060574</v>
      </c>
      <c r="D141" s="5">
        <f t="shared" si="5"/>
        <v>8</v>
      </c>
      <c r="Q141" s="4">
        <v>30164</v>
      </c>
      <c r="R141" s="7">
        <v>100.1472942851177</v>
      </c>
      <c r="S141" s="7">
        <v>63.672493991963641</v>
      </c>
      <c r="T141" s="8">
        <v>0.92267095680919153</v>
      </c>
      <c r="U141" s="7">
        <v>70.024903863540899</v>
      </c>
    </row>
    <row r="142" spans="1:21" x14ac:dyDescent="0.3">
      <c r="A142" s="4">
        <v>30195</v>
      </c>
      <c r="B142" s="12">
        <v>80.812722199999996</v>
      </c>
      <c r="C142" s="12">
        <v>20.860259042819951</v>
      </c>
      <c r="D142" s="5">
        <f t="shared" si="5"/>
        <v>9</v>
      </c>
      <c r="Q142" s="4">
        <v>30195</v>
      </c>
      <c r="R142" s="7">
        <v>69.89930193385463</v>
      </c>
      <c r="S142" s="7">
        <v>76.492760191585973</v>
      </c>
      <c r="T142" s="8">
        <v>0.70649644643733045</v>
      </c>
      <c r="U142" s="7">
        <v>73.27874657636697</v>
      </c>
    </row>
    <row r="143" spans="1:21" x14ac:dyDescent="0.3">
      <c r="A143" s="4">
        <v>30225</v>
      </c>
      <c r="B143" s="12">
        <v>108.18812509999999</v>
      </c>
      <c r="C143" s="12">
        <v>42.17127017327585</v>
      </c>
      <c r="D143" s="5">
        <f t="shared" si="5"/>
        <v>10</v>
      </c>
      <c r="Q143" s="4">
        <v>30225</v>
      </c>
      <c r="R143" s="7">
        <v>103.50591471180952</v>
      </c>
      <c r="S143" s="7">
        <v>140.58716285529727</v>
      </c>
      <c r="T143" s="8">
        <v>0.4224658343178771</v>
      </c>
      <c r="U143" s="7">
        <v>138.77652909092018</v>
      </c>
    </row>
    <row r="144" spans="1:21" x14ac:dyDescent="0.3">
      <c r="A144" s="4">
        <v>30256</v>
      </c>
      <c r="B144" s="12">
        <v>215.6760567</v>
      </c>
      <c r="C144" s="12">
        <v>76.02497236803174</v>
      </c>
      <c r="D144" s="5">
        <f t="shared" si="5"/>
        <v>11</v>
      </c>
      <c r="Q144" s="4">
        <v>30256</v>
      </c>
      <c r="R144" s="7">
        <v>164.77082999883254</v>
      </c>
      <c r="S144" s="7">
        <v>188.74655666366047</v>
      </c>
      <c r="T144" s="8">
        <v>0.43552589739997144</v>
      </c>
      <c r="U144" s="7">
        <v>184.66082968832453</v>
      </c>
    </row>
    <row r="145" spans="1:21" x14ac:dyDescent="0.3">
      <c r="A145" s="4">
        <v>30286</v>
      </c>
      <c r="B145" s="12">
        <v>292.91370449999999</v>
      </c>
      <c r="C145" s="12">
        <v>130.75765207177031</v>
      </c>
      <c r="D145" s="5">
        <f t="shared" si="5"/>
        <v>12</v>
      </c>
      <c r="Q145" s="4">
        <v>30286</v>
      </c>
      <c r="R145" s="7">
        <v>275.86397777511871</v>
      </c>
      <c r="S145" s="7">
        <v>272.8894871520626</v>
      </c>
      <c r="T145" s="8">
        <v>0.7013616082416263</v>
      </c>
      <c r="U145" s="7">
        <v>271.96754644948834</v>
      </c>
    </row>
    <row r="146" spans="1:21" x14ac:dyDescent="0.3">
      <c r="A146" s="4">
        <v>30317</v>
      </c>
      <c r="B146" s="12">
        <v>62.543712800000002</v>
      </c>
      <c r="C146" s="12">
        <v>132.90768661536279</v>
      </c>
      <c r="D146" s="5">
        <f t="shared" si="5"/>
        <v>1</v>
      </c>
      <c r="Q146" s="4">
        <v>30317</v>
      </c>
      <c r="R146" s="7">
        <v>182.75172566625631</v>
      </c>
      <c r="S146" s="7">
        <v>182.02993070980347</v>
      </c>
      <c r="T146" s="8">
        <v>0.66003740723749227</v>
      </c>
      <c r="U146" s="7">
        <v>184.20253644615332</v>
      </c>
    </row>
    <row r="147" spans="1:21" x14ac:dyDescent="0.3">
      <c r="A147" s="4">
        <v>30348</v>
      </c>
      <c r="B147" s="12">
        <v>143.03217140000001</v>
      </c>
      <c r="C147" s="12">
        <v>69.025173783302421</v>
      </c>
      <c r="D147" s="5">
        <f t="shared" si="5"/>
        <v>2</v>
      </c>
      <c r="Q147" s="4">
        <v>30348</v>
      </c>
      <c r="R147" s="7">
        <v>134.89038450237879</v>
      </c>
      <c r="S147" s="7">
        <v>150.4002752988352</v>
      </c>
      <c r="T147" s="8">
        <v>0.33544858244959452</v>
      </c>
      <c r="U147" s="7">
        <v>149.67087816588858</v>
      </c>
    </row>
    <row r="148" spans="1:21" x14ac:dyDescent="0.3">
      <c r="A148" s="4">
        <v>30376</v>
      </c>
      <c r="B148" s="12">
        <v>44.807212999999997</v>
      </c>
      <c r="C148" s="12">
        <v>93.764221225865057</v>
      </c>
      <c r="D148" s="5">
        <f t="shared" si="5"/>
        <v>3</v>
      </c>
      <c r="Q148" s="4">
        <v>30376</v>
      </c>
      <c r="R148" s="7">
        <v>199.80516337523133</v>
      </c>
      <c r="S148" s="7">
        <v>197.32537947274776</v>
      </c>
      <c r="T148" s="8">
        <v>0.77021728497494901</v>
      </c>
      <c r="U148" s="7">
        <v>196.95558762581604</v>
      </c>
    </row>
    <row r="149" spans="1:21" x14ac:dyDescent="0.3">
      <c r="A149" s="4">
        <v>30407</v>
      </c>
      <c r="B149" s="12">
        <v>32.591151400000001</v>
      </c>
      <c r="C149" s="12">
        <v>50.962712033651691</v>
      </c>
      <c r="D149" s="5">
        <f t="shared" si="5"/>
        <v>4</v>
      </c>
      <c r="Q149" s="4">
        <v>30407</v>
      </c>
      <c r="R149" s="7">
        <v>95.973578470245343</v>
      </c>
      <c r="S149" s="7">
        <v>89.861946285327249</v>
      </c>
      <c r="T149" s="8">
        <v>0.26241427920123755</v>
      </c>
      <c r="U149" s="7">
        <v>90.253114936474915</v>
      </c>
    </row>
    <row r="150" spans="1:21" x14ac:dyDescent="0.3">
      <c r="A150" s="4">
        <v>30437</v>
      </c>
      <c r="B150" s="12">
        <v>41.767181999999998</v>
      </c>
      <c r="C150" s="12">
        <v>118.40428572613736</v>
      </c>
      <c r="D150" s="5">
        <f t="shared" si="5"/>
        <v>5</v>
      </c>
      <c r="Q150" s="4">
        <v>30437</v>
      </c>
      <c r="R150" s="7">
        <v>201.19231535742642</v>
      </c>
      <c r="S150" s="7">
        <v>187.62421207691986</v>
      </c>
      <c r="T150" s="8">
        <v>0.90168069275497631</v>
      </c>
      <c r="U150" s="7">
        <v>188.52043554742724</v>
      </c>
    </row>
    <row r="151" spans="1:21" x14ac:dyDescent="0.3">
      <c r="A151" s="4">
        <v>30468</v>
      </c>
      <c r="B151" s="12">
        <v>97.867575400000007</v>
      </c>
      <c r="C151" s="12">
        <v>37.884276069235113</v>
      </c>
      <c r="D151" s="5">
        <f t="shared" si="5"/>
        <v>6</v>
      </c>
      <c r="Q151" s="4">
        <v>30468</v>
      </c>
      <c r="R151" s="7">
        <v>38.383437649419143</v>
      </c>
      <c r="S151" s="7">
        <v>40.541962754528598</v>
      </c>
      <c r="T151" s="8">
        <v>0.73051093092827712</v>
      </c>
      <c r="U151" s="7">
        <v>39.667406358968165</v>
      </c>
    </row>
    <row r="152" spans="1:21" x14ac:dyDescent="0.3">
      <c r="A152" s="4">
        <v>30498</v>
      </c>
      <c r="B152" s="12">
        <v>66.798116699999994</v>
      </c>
      <c r="C152" s="12">
        <v>0.3337596789151564</v>
      </c>
      <c r="D152" s="5">
        <f t="shared" si="5"/>
        <v>7</v>
      </c>
      <c r="Q152" s="4">
        <v>30498</v>
      </c>
      <c r="R152" s="7">
        <v>1.2077717655008584</v>
      </c>
      <c r="S152" s="7">
        <v>3.1481738732152516</v>
      </c>
      <c r="T152" s="8">
        <v>0.11327378180409448</v>
      </c>
      <c r="U152" s="7">
        <v>4.7454965301888601</v>
      </c>
    </row>
    <row r="153" spans="1:21" x14ac:dyDescent="0.3">
      <c r="A153" s="4">
        <v>30529</v>
      </c>
      <c r="B153" s="12">
        <v>27.259584700000001</v>
      </c>
      <c r="C153" s="12">
        <v>0</v>
      </c>
      <c r="D153" s="5">
        <f t="shared" si="5"/>
        <v>8</v>
      </c>
      <c r="Q153" s="4">
        <v>30529</v>
      </c>
      <c r="R153" s="7">
        <v>0</v>
      </c>
      <c r="S153" s="7">
        <v>0</v>
      </c>
      <c r="T153" s="8">
        <v>0</v>
      </c>
      <c r="U153" s="7">
        <v>0</v>
      </c>
    </row>
    <row r="154" spans="1:21" x14ac:dyDescent="0.3">
      <c r="A154" s="4">
        <v>30560</v>
      </c>
      <c r="B154" s="12">
        <v>40.889925599999998</v>
      </c>
      <c r="C154" s="12">
        <v>0.71355478939949579</v>
      </c>
      <c r="D154" s="5">
        <f t="shared" si="5"/>
        <v>9</v>
      </c>
      <c r="Q154" s="4">
        <v>30560</v>
      </c>
      <c r="R154" s="7">
        <v>2.3910049040235166</v>
      </c>
      <c r="S154" s="7">
        <v>9.4645277912671695</v>
      </c>
      <c r="T154" s="8">
        <v>9.0776829366179632E-2</v>
      </c>
      <c r="U154" s="7">
        <v>12.013480760771396</v>
      </c>
    </row>
    <row r="155" spans="1:21" x14ac:dyDescent="0.3">
      <c r="A155" s="4">
        <v>30590</v>
      </c>
      <c r="B155" s="12">
        <v>140.9795426</v>
      </c>
      <c r="C155" s="12">
        <v>112.91396239539597</v>
      </c>
      <c r="D155" s="5">
        <f t="shared" si="5"/>
        <v>10</v>
      </c>
      <c r="Q155" s="4">
        <v>30590</v>
      </c>
      <c r="R155" s="7">
        <v>277.13803528916708</v>
      </c>
      <c r="S155" s="7">
        <v>247.88668833956021</v>
      </c>
      <c r="T155" s="8">
        <v>0.8088007391629104</v>
      </c>
      <c r="U155" s="7">
        <v>242.99888145163064</v>
      </c>
    </row>
    <row r="156" spans="1:21" x14ac:dyDescent="0.3">
      <c r="A156" s="4">
        <v>30621</v>
      </c>
      <c r="B156" s="12">
        <v>185.0613275</v>
      </c>
      <c r="C156" s="12">
        <v>206.26468537375339</v>
      </c>
      <c r="D156" s="5">
        <f t="shared" si="5"/>
        <v>11</v>
      </c>
      <c r="Q156" s="4">
        <v>30621</v>
      </c>
      <c r="R156" s="7">
        <v>447.04262757183949</v>
      </c>
      <c r="S156" s="7">
        <v>343.58783430830658</v>
      </c>
      <c r="T156" s="8">
        <v>0.95235571345432701</v>
      </c>
      <c r="U156" s="7">
        <v>353.51510758060977</v>
      </c>
    </row>
    <row r="157" spans="1:21" x14ac:dyDescent="0.3">
      <c r="A157" s="4">
        <v>30651</v>
      </c>
      <c r="B157" s="12">
        <v>173.38220820000001</v>
      </c>
      <c r="C157" s="12">
        <v>134.94916367344561</v>
      </c>
      <c r="D157" s="5">
        <f t="shared" si="5"/>
        <v>12</v>
      </c>
      <c r="Q157" s="4">
        <v>30651</v>
      </c>
      <c r="R157" s="7">
        <v>284.70695594892413</v>
      </c>
      <c r="S157" s="7">
        <v>280.2276048206121</v>
      </c>
      <c r="T157" s="8">
        <v>0.72485430130781703</v>
      </c>
      <c r="U157" s="7">
        <v>279.52301188026456</v>
      </c>
    </row>
    <row r="158" spans="1:21" x14ac:dyDescent="0.3">
      <c r="A158" s="4">
        <v>30682</v>
      </c>
      <c r="B158" s="12">
        <v>202.8988627</v>
      </c>
      <c r="C158" s="12">
        <v>234.3235492240639</v>
      </c>
      <c r="D158" s="5">
        <f t="shared" si="5"/>
        <v>1</v>
      </c>
      <c r="Q158" s="4">
        <v>30682</v>
      </c>
      <c r="R158" s="7">
        <v>322.20132691700707</v>
      </c>
      <c r="S158" s="7">
        <v>384.51962815190149</v>
      </c>
      <c r="T158" s="8">
        <v>0.96567967837900448</v>
      </c>
      <c r="U158" s="7">
        <v>378.32578448559173</v>
      </c>
    </row>
    <row r="159" spans="1:21" x14ac:dyDescent="0.3">
      <c r="A159" s="4">
        <v>30713</v>
      </c>
      <c r="B159" s="12">
        <v>247.25546840000001</v>
      </c>
      <c r="C159" s="12">
        <v>41.662480216473384</v>
      </c>
      <c r="D159" s="5">
        <f t="shared" si="5"/>
        <v>2</v>
      </c>
      <c r="Q159" s="4">
        <v>30713</v>
      </c>
      <c r="R159" s="7">
        <v>81.417657757238729</v>
      </c>
      <c r="S159" s="7">
        <v>101.72537658194629</v>
      </c>
      <c r="T159" s="8">
        <v>0.12250817610665066</v>
      </c>
      <c r="U159" s="7">
        <v>102.88742765410497</v>
      </c>
    </row>
    <row r="160" spans="1:21" x14ac:dyDescent="0.3">
      <c r="A160" s="4">
        <v>30742</v>
      </c>
      <c r="B160" s="12">
        <v>232.18461060000001</v>
      </c>
      <c r="C160" s="12">
        <v>32.998445222620028</v>
      </c>
      <c r="D160" s="5">
        <f t="shared" si="5"/>
        <v>3</v>
      </c>
      <c r="Q160" s="4">
        <v>30742</v>
      </c>
      <c r="R160" s="7">
        <v>70.317437212558559</v>
      </c>
      <c r="S160" s="7">
        <v>75.225227510126544</v>
      </c>
      <c r="T160" s="8">
        <v>0.13272302758765614</v>
      </c>
      <c r="U160" s="7">
        <v>75.4890564453748</v>
      </c>
    </row>
    <row r="161" spans="1:21" x14ac:dyDescent="0.3">
      <c r="A161" s="4">
        <v>30773</v>
      </c>
      <c r="B161" s="12">
        <v>238.1788597</v>
      </c>
      <c r="C161" s="12">
        <v>22.228919580811645</v>
      </c>
      <c r="D161" s="5">
        <f t="shared" si="5"/>
        <v>4</v>
      </c>
      <c r="Q161" s="4">
        <v>30773</v>
      </c>
      <c r="R161" s="7">
        <v>41.861762699934033</v>
      </c>
      <c r="S161" s="7">
        <v>35.153127008587148</v>
      </c>
      <c r="T161" s="8">
        <v>2.0146157113911583E-2</v>
      </c>
      <c r="U161" s="7">
        <v>34.419219271794283</v>
      </c>
    </row>
    <row r="162" spans="1:21" x14ac:dyDescent="0.3">
      <c r="A162" s="4">
        <v>30803</v>
      </c>
      <c r="B162" s="12">
        <v>52.807319</v>
      </c>
      <c r="C162" s="12">
        <v>41.19979224633439</v>
      </c>
      <c r="D162" s="5">
        <f t="shared" si="5"/>
        <v>5</v>
      </c>
      <c r="Q162" s="4">
        <v>30803</v>
      </c>
      <c r="R162" s="7">
        <v>70.006601057137019</v>
      </c>
      <c r="S162" s="7">
        <v>76.75292351029681</v>
      </c>
      <c r="T162" s="8">
        <v>0.36337251062925935</v>
      </c>
      <c r="U162" s="7">
        <v>75.785057934199955</v>
      </c>
    </row>
    <row r="163" spans="1:21" x14ac:dyDescent="0.3">
      <c r="A163" s="4">
        <v>30834</v>
      </c>
      <c r="B163" s="12">
        <v>22.506163999999998</v>
      </c>
      <c r="C163" s="12">
        <v>10.745532155851834</v>
      </c>
      <c r="D163" s="5">
        <f t="shared" si="5"/>
        <v>6</v>
      </c>
      <c r="Q163" s="4">
        <v>30834</v>
      </c>
      <c r="R163" s="7">
        <v>10.887114821996247</v>
      </c>
      <c r="S163" s="7">
        <v>18.499402182313084</v>
      </c>
      <c r="T163" s="8">
        <v>0.40893566313973156</v>
      </c>
      <c r="U163" s="7">
        <v>20.222663192438478</v>
      </c>
    </row>
    <row r="164" spans="1:21" x14ac:dyDescent="0.3">
      <c r="A164" s="4">
        <v>30864</v>
      </c>
      <c r="B164" s="12">
        <v>12.8956769</v>
      </c>
      <c r="C164" s="12">
        <v>12.110840338573324</v>
      </c>
      <c r="D164" s="5">
        <f t="shared" si="5"/>
        <v>7</v>
      </c>
      <c r="Q164" s="4">
        <v>30864</v>
      </c>
      <c r="R164" s="7">
        <v>43.825338833502464</v>
      </c>
      <c r="S164" s="7">
        <v>42.4569973052268</v>
      </c>
      <c r="T164" s="8">
        <v>0.80651672521555862</v>
      </c>
      <c r="U164" s="7">
        <v>41.419651339916776</v>
      </c>
    </row>
    <row r="165" spans="1:21" x14ac:dyDescent="0.3">
      <c r="A165" s="4">
        <v>30895</v>
      </c>
      <c r="B165" s="12">
        <v>74.901552199999998</v>
      </c>
      <c r="C165" s="12">
        <v>0.29595464618523809</v>
      </c>
      <c r="D165" s="5">
        <f t="shared" si="5"/>
        <v>8</v>
      </c>
      <c r="Q165" s="4">
        <v>30895</v>
      </c>
      <c r="R165" s="7">
        <v>1.6096444005820059</v>
      </c>
      <c r="S165" s="7">
        <v>19.658789014548923</v>
      </c>
      <c r="T165" s="8">
        <v>0.15969451971405382</v>
      </c>
      <c r="U165" s="7">
        <v>11.06879883236307</v>
      </c>
    </row>
    <row r="166" spans="1:21" x14ac:dyDescent="0.3">
      <c r="A166" s="4">
        <v>30926</v>
      </c>
      <c r="B166" s="12">
        <v>42.695902099999998</v>
      </c>
      <c r="C166" s="12">
        <v>12.110897034290234</v>
      </c>
      <c r="D166" s="5">
        <f t="shared" si="5"/>
        <v>9</v>
      </c>
      <c r="Q166" s="4">
        <v>30926</v>
      </c>
      <c r="R166" s="7">
        <v>40.581626850940559</v>
      </c>
      <c r="S166" s="7">
        <v>54.629344572739676</v>
      </c>
      <c r="T166" s="8">
        <v>0.54685991981727045</v>
      </c>
      <c r="U166" s="7">
        <v>52.617522489789188</v>
      </c>
    </row>
    <row r="167" spans="1:21" x14ac:dyDescent="0.3">
      <c r="A167" s="4">
        <v>30956</v>
      </c>
      <c r="B167" s="12">
        <v>7.3926724999999998</v>
      </c>
      <c r="C167" s="12">
        <v>33.552460130886239</v>
      </c>
      <c r="D167" s="5">
        <f t="shared" si="5"/>
        <v>10</v>
      </c>
      <c r="Q167" s="4">
        <v>30956</v>
      </c>
      <c r="R167" s="7">
        <v>82.351754225313343</v>
      </c>
      <c r="S167" s="7">
        <v>123.24477005224729</v>
      </c>
      <c r="T167" s="8">
        <v>0.3446922494782243</v>
      </c>
      <c r="U167" s="7">
        <v>123.11047106293599</v>
      </c>
    </row>
    <row r="168" spans="1:21" x14ac:dyDescent="0.3">
      <c r="A168" s="4">
        <v>30987</v>
      </c>
      <c r="B168" s="12">
        <v>197.41682779999999</v>
      </c>
      <c r="C168" s="12">
        <v>153.62197905778893</v>
      </c>
      <c r="D168" s="5">
        <f t="shared" si="5"/>
        <v>11</v>
      </c>
      <c r="Q168" s="4">
        <v>30987</v>
      </c>
      <c r="R168" s="7">
        <v>332.94876942380773</v>
      </c>
      <c r="S168" s="7">
        <v>287.89356771478623</v>
      </c>
      <c r="T168" s="8">
        <v>0.85527636142740726</v>
      </c>
      <c r="U168" s="7">
        <v>289.38739809407923</v>
      </c>
    </row>
    <row r="169" spans="1:21" x14ac:dyDescent="0.3">
      <c r="A169" s="4">
        <v>31017</v>
      </c>
      <c r="B169" s="12">
        <v>148.2811413</v>
      </c>
      <c r="C169" s="12">
        <v>204.18188762851068</v>
      </c>
      <c r="D169" s="5">
        <f t="shared" si="5"/>
        <v>12</v>
      </c>
      <c r="Q169" s="4">
        <v>31017</v>
      </c>
      <c r="R169" s="7">
        <v>430.7696476525656</v>
      </c>
      <c r="S169" s="7">
        <v>396.97197088459092</v>
      </c>
      <c r="T169" s="8">
        <v>0.94267503655025175</v>
      </c>
      <c r="U169" s="7">
        <v>401.98721684692532</v>
      </c>
    </row>
    <row r="170" spans="1:21" x14ac:dyDescent="0.3">
      <c r="A170" s="4">
        <v>31048</v>
      </c>
      <c r="B170" s="12">
        <v>279.74957339999997</v>
      </c>
      <c r="C170" s="12">
        <v>85.418838949408283</v>
      </c>
      <c r="D170" s="5">
        <f t="shared" si="5"/>
        <v>1</v>
      </c>
      <c r="Q170" s="4">
        <v>31048</v>
      </c>
      <c r="R170" s="7">
        <v>117.45325360744019</v>
      </c>
      <c r="S170" s="7">
        <v>101.61028139795492</v>
      </c>
      <c r="T170" s="8">
        <v>0.30480199405853148</v>
      </c>
      <c r="U170" s="7">
        <v>101.99194373883627</v>
      </c>
    </row>
    <row r="171" spans="1:21" x14ac:dyDescent="0.3">
      <c r="A171" s="4">
        <v>31079</v>
      </c>
      <c r="B171" s="12">
        <v>107.0054873</v>
      </c>
      <c r="C171" s="12">
        <v>72.989583481103139</v>
      </c>
      <c r="D171" s="5">
        <f t="shared" si="5"/>
        <v>2</v>
      </c>
      <c r="Q171" s="4">
        <v>31079</v>
      </c>
      <c r="R171" s="7">
        <v>142.63771376141298</v>
      </c>
      <c r="S171" s="7">
        <v>157.0481910371528</v>
      </c>
      <c r="T171" s="8">
        <v>0.36836688112393778</v>
      </c>
      <c r="U171" s="7">
        <v>156.13382098574905</v>
      </c>
    </row>
    <row r="172" spans="1:21" x14ac:dyDescent="0.3">
      <c r="A172" s="4">
        <v>31107</v>
      </c>
      <c r="B172" s="12">
        <v>170.1010191</v>
      </c>
      <c r="C172" s="12">
        <v>84.745043946895635</v>
      </c>
      <c r="D172" s="5">
        <f t="shared" si="5"/>
        <v>3</v>
      </c>
      <c r="Q172" s="4">
        <v>31107</v>
      </c>
      <c r="R172" s="7">
        <v>180.58591144550323</v>
      </c>
      <c r="S172" s="7">
        <v>179.73097410766144</v>
      </c>
      <c r="T172" s="8">
        <v>0.70233423994931232</v>
      </c>
      <c r="U172" s="7">
        <v>179.29259316116259</v>
      </c>
    </row>
    <row r="173" spans="1:21" x14ac:dyDescent="0.3">
      <c r="A173" s="4">
        <v>31138</v>
      </c>
      <c r="B173" s="12">
        <v>183.9758334</v>
      </c>
      <c r="C173" s="12">
        <v>44.08137488644568</v>
      </c>
      <c r="D173" s="5">
        <f t="shared" si="5"/>
        <v>4</v>
      </c>
      <c r="Q173" s="4">
        <v>31138</v>
      </c>
      <c r="R173" s="7">
        <v>83.014563450764086</v>
      </c>
      <c r="S173" s="7">
        <v>76.262816580613219</v>
      </c>
      <c r="T173" s="8">
        <v>0.18176307749059833</v>
      </c>
      <c r="U173" s="7">
        <v>76.4228336110979</v>
      </c>
    </row>
    <row r="174" spans="1:21" x14ac:dyDescent="0.3">
      <c r="A174" s="4">
        <v>31168</v>
      </c>
      <c r="B174" s="12">
        <v>88.179111899999995</v>
      </c>
      <c r="C174" s="12">
        <v>160.24549378780645</v>
      </c>
      <c r="D174" s="5">
        <f t="shared" si="5"/>
        <v>5</v>
      </c>
      <c r="Q174" s="4">
        <v>31168</v>
      </c>
      <c r="R174" s="7">
        <v>272.28880883021924</v>
      </c>
      <c r="S174" s="7">
        <v>242.41661626075756</v>
      </c>
      <c r="T174" s="8">
        <v>0.97039179183839597</v>
      </c>
      <c r="U174" s="7">
        <v>246.82079260121799</v>
      </c>
    </row>
    <row r="175" spans="1:21" x14ac:dyDescent="0.3">
      <c r="A175" s="4">
        <v>31199</v>
      </c>
      <c r="B175" s="12">
        <v>9.8212212000000001</v>
      </c>
      <c r="C175" s="12">
        <v>12.563825090182954</v>
      </c>
      <c r="D175" s="5">
        <f t="shared" si="5"/>
        <v>6</v>
      </c>
      <c r="Q175" s="4">
        <v>31199</v>
      </c>
      <c r="R175" s="7">
        <v>12.729365505254112</v>
      </c>
      <c r="S175" s="7">
        <v>20.390766823598636</v>
      </c>
      <c r="T175" s="8">
        <v>0.44373137076261393</v>
      </c>
      <c r="U175" s="7">
        <v>21.865203877746705</v>
      </c>
    </row>
    <row r="176" spans="1:21" x14ac:dyDescent="0.3">
      <c r="A176" s="4">
        <v>31229</v>
      </c>
      <c r="B176" s="12">
        <v>23.3168866</v>
      </c>
      <c r="C176" s="12">
        <v>8.3953651497722728</v>
      </c>
      <c r="D176" s="5">
        <f t="shared" si="5"/>
        <v>7</v>
      </c>
      <c r="Q176" s="4">
        <v>31229</v>
      </c>
      <c r="R176" s="7">
        <v>30.380197577857817</v>
      </c>
      <c r="S176" s="7">
        <v>32.558966953660558</v>
      </c>
      <c r="T176" s="8">
        <v>0.7070075400930047</v>
      </c>
      <c r="U176" s="7">
        <v>32.164953286490061</v>
      </c>
    </row>
    <row r="177" spans="1:21" x14ac:dyDescent="0.3">
      <c r="A177" s="4">
        <v>31260</v>
      </c>
      <c r="B177" s="12">
        <v>5.416696</v>
      </c>
      <c r="C177" s="12">
        <v>7.6818720025073695E-3</v>
      </c>
      <c r="D177" s="5">
        <f t="shared" si="5"/>
        <v>8</v>
      </c>
      <c r="Q177" s="4">
        <v>31260</v>
      </c>
      <c r="R177" s="7">
        <v>4.1780328216521251E-2</v>
      </c>
      <c r="S177" s="7">
        <v>6.95638983546411</v>
      </c>
      <c r="T177" s="8">
        <v>2.2881783098418637E-2</v>
      </c>
      <c r="U177" s="7">
        <v>3.3885057458590619</v>
      </c>
    </row>
    <row r="178" spans="1:21" x14ac:dyDescent="0.3">
      <c r="A178" s="4">
        <v>31291</v>
      </c>
      <c r="B178" s="12">
        <v>7.7626016</v>
      </c>
      <c r="C178" s="12">
        <v>0.29870268485865353</v>
      </c>
      <c r="D178" s="5">
        <f t="shared" si="5"/>
        <v>9</v>
      </c>
      <c r="Q178" s="4">
        <v>31291</v>
      </c>
      <c r="R178" s="7">
        <v>1.0009036376072515</v>
      </c>
      <c r="S178" s="7">
        <v>5.5203407211997542</v>
      </c>
      <c r="T178" s="8">
        <v>4.9859547484484387E-2</v>
      </c>
      <c r="U178" s="7">
        <v>8.0124842175652393</v>
      </c>
    </row>
    <row r="179" spans="1:21" x14ac:dyDescent="0.3">
      <c r="A179" s="4">
        <v>31321</v>
      </c>
      <c r="B179" s="12">
        <v>117.76550640000001</v>
      </c>
      <c r="C179" s="12">
        <v>71.662000974174518</v>
      </c>
      <c r="D179" s="5">
        <f t="shared" si="5"/>
        <v>10</v>
      </c>
      <c r="Q179" s="4">
        <v>31321</v>
      </c>
      <c r="R179" s="7">
        <v>175.88848831048463</v>
      </c>
      <c r="S179" s="7">
        <v>190.78631542156995</v>
      </c>
      <c r="T179" s="8">
        <v>0.63177663283465835</v>
      </c>
      <c r="U179" s="7">
        <v>185.84636619180148</v>
      </c>
    </row>
    <row r="180" spans="1:21" x14ac:dyDescent="0.3">
      <c r="A180" s="4">
        <v>31352</v>
      </c>
      <c r="B180" s="12">
        <v>365.85562299999998</v>
      </c>
      <c r="C180" s="12">
        <v>16.624885072815228</v>
      </c>
      <c r="D180" s="5">
        <f t="shared" si="5"/>
        <v>11</v>
      </c>
      <c r="Q180" s="4">
        <v>31352</v>
      </c>
      <c r="R180" s="7">
        <v>36.031530518975003</v>
      </c>
      <c r="S180" s="7">
        <v>75.795306469590557</v>
      </c>
      <c r="T180" s="8">
        <v>1.9911843137383922E-2</v>
      </c>
      <c r="U180" s="7">
        <v>78.47801402603659</v>
      </c>
    </row>
    <row r="181" spans="1:21" x14ac:dyDescent="0.3">
      <c r="A181" s="4">
        <v>31382</v>
      </c>
      <c r="B181" s="12">
        <v>194.629075</v>
      </c>
      <c r="C181" s="12">
        <v>69.936783704906702</v>
      </c>
      <c r="D181" s="5">
        <f t="shared" si="5"/>
        <v>12</v>
      </c>
      <c r="Q181" s="4">
        <v>31382</v>
      </c>
      <c r="R181" s="7">
        <v>147.54807110672266</v>
      </c>
      <c r="S181" s="7">
        <v>161.227479562279</v>
      </c>
      <c r="T181" s="8">
        <v>0.2416407580535975</v>
      </c>
      <c r="U181" s="7">
        <v>159.22275872402497</v>
      </c>
    </row>
    <row r="182" spans="1:21" x14ac:dyDescent="0.3">
      <c r="A182" s="4">
        <v>31413</v>
      </c>
      <c r="B182" s="12">
        <v>340.71397519999999</v>
      </c>
      <c r="C182" s="12">
        <v>144.77408869424826</v>
      </c>
      <c r="D182" s="5">
        <f t="shared" si="5"/>
        <v>1</v>
      </c>
      <c r="Q182" s="4">
        <v>31413</v>
      </c>
      <c r="R182" s="7">
        <v>199.06835499441513</v>
      </c>
      <c r="S182" s="7">
        <v>203.76240681022759</v>
      </c>
      <c r="T182" s="8">
        <v>0.7282008918513454</v>
      </c>
      <c r="U182" s="7">
        <v>205.87577581278569</v>
      </c>
    </row>
    <row r="183" spans="1:21" x14ac:dyDescent="0.3">
      <c r="A183" s="4">
        <v>31444</v>
      </c>
      <c r="B183" s="12">
        <v>402.04359829999999</v>
      </c>
      <c r="C183" s="12">
        <v>80.925311660394058</v>
      </c>
      <c r="D183" s="5">
        <f t="shared" si="5"/>
        <v>2</v>
      </c>
      <c r="Q183" s="4">
        <v>31444</v>
      </c>
      <c r="R183" s="7">
        <v>158.14587356368301</v>
      </c>
      <c r="S183" s="7">
        <v>170.1174480409756</v>
      </c>
      <c r="T183" s="8">
        <v>0.43328609202917323</v>
      </c>
      <c r="U183" s="7">
        <v>168.89715485695851</v>
      </c>
    </row>
    <row r="184" spans="1:21" x14ac:dyDescent="0.3">
      <c r="A184" s="4">
        <v>31472</v>
      </c>
      <c r="B184" s="12">
        <v>131.82575180000001</v>
      </c>
      <c r="C184" s="12">
        <v>97.539597423747196</v>
      </c>
      <c r="D184" s="5">
        <f t="shared" si="5"/>
        <v>3</v>
      </c>
      <c r="Q184" s="4">
        <v>31472</v>
      </c>
      <c r="R184" s="7">
        <v>207.85023267947798</v>
      </c>
      <c r="S184" s="7">
        <v>204.6511499849037</v>
      </c>
      <c r="T184" s="8">
        <v>0.79472556850871146</v>
      </c>
      <c r="U184" s="7">
        <v>204.32599367154299</v>
      </c>
    </row>
    <row r="185" spans="1:21" x14ac:dyDescent="0.3">
      <c r="A185" s="4">
        <v>31503</v>
      </c>
      <c r="B185" s="12">
        <v>85.075311400000004</v>
      </c>
      <c r="C185" s="12">
        <v>79.483859008178072</v>
      </c>
      <c r="D185" s="5">
        <f t="shared" si="5"/>
        <v>4</v>
      </c>
      <c r="Q185" s="4">
        <v>31503</v>
      </c>
      <c r="R185" s="7">
        <v>149.68493777572402</v>
      </c>
      <c r="S185" s="7">
        <v>148.56902824328247</v>
      </c>
      <c r="T185" s="8">
        <v>0.61111834550240862</v>
      </c>
      <c r="U185" s="7">
        <v>149.34255174155996</v>
      </c>
    </row>
    <row r="186" spans="1:21" x14ac:dyDescent="0.3">
      <c r="A186" s="4">
        <v>31533</v>
      </c>
      <c r="B186" s="12">
        <v>104.9186133</v>
      </c>
      <c r="C186" s="12">
        <v>47.373537614475829</v>
      </c>
      <c r="D186" s="5">
        <f t="shared" si="5"/>
        <v>5</v>
      </c>
      <c r="Q186" s="4">
        <v>31533</v>
      </c>
      <c r="R186" s="7">
        <v>80.497016310487695</v>
      </c>
      <c r="S186" s="7">
        <v>86.385369541000685</v>
      </c>
      <c r="T186" s="8">
        <v>0.43487315614281497</v>
      </c>
      <c r="U186" s="7">
        <v>85.279890427933196</v>
      </c>
    </row>
    <row r="187" spans="1:21" x14ac:dyDescent="0.3">
      <c r="A187" s="4">
        <v>31564</v>
      </c>
      <c r="B187" s="12">
        <v>106.8214758</v>
      </c>
      <c r="C187" s="12">
        <v>12.87245134881231</v>
      </c>
      <c r="D187" s="5">
        <f t="shared" si="5"/>
        <v>6</v>
      </c>
      <c r="Q187" s="4">
        <v>31564</v>
      </c>
      <c r="R187" s="7">
        <v>13.042058210096197</v>
      </c>
      <c r="S187" s="7">
        <v>20.70123067106584</v>
      </c>
      <c r="T187" s="8">
        <v>0.44931212493884187</v>
      </c>
      <c r="U187" s="7">
        <v>22.134603578248271</v>
      </c>
    </row>
    <row r="188" spans="1:21" x14ac:dyDescent="0.3">
      <c r="A188" s="4">
        <v>31594</v>
      </c>
      <c r="B188" s="12">
        <v>30.235095699999999</v>
      </c>
      <c r="C188" s="12">
        <v>7.0831256314704794</v>
      </c>
      <c r="D188" s="5">
        <f t="shared" si="5"/>
        <v>7</v>
      </c>
      <c r="Q188" s="4">
        <v>31594</v>
      </c>
      <c r="R188" s="7">
        <v>25.631613671824518</v>
      </c>
      <c r="S188" s="7">
        <v>28.787145063005166</v>
      </c>
      <c r="T188" s="8">
        <v>0.6587476887759246</v>
      </c>
      <c r="U188" s="7">
        <v>28.697591181667885</v>
      </c>
    </row>
    <row r="189" spans="1:21" x14ac:dyDescent="0.3">
      <c r="A189" s="4">
        <v>31625</v>
      </c>
      <c r="B189" s="12">
        <v>15.7929402</v>
      </c>
      <c r="C189" s="12">
        <v>30.328989273402797</v>
      </c>
      <c r="D189" s="5">
        <f t="shared" si="5"/>
        <v>8</v>
      </c>
      <c r="Q189" s="4">
        <v>31625</v>
      </c>
      <c r="R189" s="7">
        <v>164.95394949362876</v>
      </c>
      <c r="S189" s="7">
        <v>73.385974919121907</v>
      </c>
      <c r="T189" s="8">
        <v>0.97749636833695575</v>
      </c>
      <c r="U189" s="7">
        <v>95.45330244791262</v>
      </c>
    </row>
    <row r="190" spans="1:21" x14ac:dyDescent="0.3">
      <c r="A190" s="4">
        <v>31656</v>
      </c>
      <c r="B190" s="12">
        <v>41.717884300000001</v>
      </c>
      <c r="C190" s="12">
        <v>22.565008490346383</v>
      </c>
      <c r="D190" s="5">
        <f t="shared" si="5"/>
        <v>9</v>
      </c>
      <c r="Q190" s="4">
        <v>31656</v>
      </c>
      <c r="R190" s="7">
        <v>75.611637342040126</v>
      </c>
      <c r="S190" s="7">
        <v>80.304731400825773</v>
      </c>
      <c r="T190" s="8">
        <v>0.72944994839777588</v>
      </c>
      <c r="U190" s="7">
        <v>77.007962493943168</v>
      </c>
    </row>
    <row r="191" spans="1:21" x14ac:dyDescent="0.3">
      <c r="A191" s="4">
        <v>31686</v>
      </c>
      <c r="B191" s="12">
        <v>136.0408821</v>
      </c>
      <c r="C191" s="12">
        <v>52.207259164424485</v>
      </c>
      <c r="D191" s="5">
        <f t="shared" si="5"/>
        <v>10</v>
      </c>
      <c r="Q191" s="4">
        <v>31686</v>
      </c>
      <c r="R191" s="7">
        <v>128.13842438719448</v>
      </c>
      <c r="S191" s="7">
        <v>158.97720434195426</v>
      </c>
      <c r="T191" s="8">
        <v>0.50320772805497826</v>
      </c>
      <c r="U191" s="7">
        <v>155.70376734391638</v>
      </c>
    </row>
    <row r="192" spans="1:21" x14ac:dyDescent="0.3">
      <c r="A192" s="4">
        <v>31717</v>
      </c>
      <c r="B192" s="12">
        <v>88.018713199999993</v>
      </c>
      <c r="C192" s="12">
        <v>41.517592209857028</v>
      </c>
      <c r="D192" s="5">
        <f t="shared" si="5"/>
        <v>11</v>
      </c>
      <c r="Q192" s="4">
        <v>31717</v>
      </c>
      <c r="R192" s="7">
        <v>89.982119228599402</v>
      </c>
      <c r="S192" s="7">
        <v>131.27969276668486</v>
      </c>
      <c r="T192" s="8">
        <v>0.15553199854784566</v>
      </c>
      <c r="U192" s="7">
        <v>129.18559738317893</v>
      </c>
    </row>
    <row r="193" spans="1:21" x14ac:dyDescent="0.3">
      <c r="A193" s="4">
        <v>31747</v>
      </c>
      <c r="B193" s="12">
        <v>178.457222</v>
      </c>
      <c r="C193" s="12">
        <v>108.52094565052545</v>
      </c>
      <c r="D193" s="5">
        <f t="shared" si="5"/>
        <v>12</v>
      </c>
      <c r="Q193" s="4">
        <v>31747</v>
      </c>
      <c r="R193" s="7">
        <v>228.95042289868877</v>
      </c>
      <c r="S193" s="7">
        <v>233.295284434786</v>
      </c>
      <c r="T193" s="8">
        <v>0.55386363099621205</v>
      </c>
      <c r="U193" s="7">
        <v>231.50644584057309</v>
      </c>
    </row>
    <row r="194" spans="1:21" x14ac:dyDescent="0.3">
      <c r="A194" s="4">
        <v>31778</v>
      </c>
      <c r="B194" s="12">
        <v>373.12640429999999</v>
      </c>
      <c r="C194" s="12">
        <v>182.7931495383381</v>
      </c>
      <c r="D194" s="5">
        <f t="shared" si="5"/>
        <v>1</v>
      </c>
      <c r="Q194" s="4">
        <v>31778</v>
      </c>
      <c r="R194" s="7">
        <v>251.34560963940484</v>
      </c>
      <c r="S194" s="7">
        <v>277.12636920052853</v>
      </c>
      <c r="T194" s="8">
        <v>0.87878153376759005</v>
      </c>
      <c r="U194" s="7">
        <v>277.44733791462306</v>
      </c>
    </row>
    <row r="195" spans="1:21" x14ac:dyDescent="0.3">
      <c r="A195" s="4">
        <v>31809</v>
      </c>
      <c r="B195" s="12">
        <v>225.73365720000001</v>
      </c>
      <c r="C195" s="12">
        <v>22.519290447235111</v>
      </c>
      <c r="D195" s="5">
        <f t="shared" ref="D195:D258" si="6">MONTH(A195)</f>
        <v>2</v>
      </c>
      <c r="Q195" s="4">
        <v>31809</v>
      </c>
      <c r="R195" s="7">
        <v>44.007650841773192</v>
      </c>
      <c r="S195" s="7">
        <v>63.166903797542432</v>
      </c>
      <c r="T195" s="8">
        <v>2.673964367898601E-2</v>
      </c>
      <c r="U195" s="7">
        <v>66.238880321449685</v>
      </c>
    </row>
    <row r="196" spans="1:21" x14ac:dyDescent="0.3">
      <c r="A196" s="4">
        <v>31837</v>
      </c>
      <c r="B196" s="12">
        <v>260.26605640000002</v>
      </c>
      <c r="C196" s="12">
        <v>16.21400221483783</v>
      </c>
      <c r="D196" s="5">
        <f t="shared" si="6"/>
        <v>3</v>
      </c>
      <c r="Q196" s="4">
        <v>31837</v>
      </c>
      <c r="R196" s="7">
        <v>34.55093338532815</v>
      </c>
      <c r="S196" s="7">
        <v>39.029012178278094</v>
      </c>
      <c r="T196" s="8">
        <v>1.8591544205730809E-2</v>
      </c>
      <c r="U196" s="7">
        <v>39.829422736243224</v>
      </c>
    </row>
    <row r="197" spans="1:21" x14ac:dyDescent="0.3">
      <c r="A197" s="4">
        <v>31868</v>
      </c>
      <c r="B197" s="12">
        <v>122.1456034</v>
      </c>
      <c r="C197" s="12">
        <v>7.7129808050813127</v>
      </c>
      <c r="D197" s="5">
        <f t="shared" si="6"/>
        <v>4</v>
      </c>
      <c r="Q197" s="4">
        <v>31868</v>
      </c>
      <c r="R197" s="7">
        <v>14.525176133624338</v>
      </c>
      <c r="S197" s="7">
        <v>10.615816116902925</v>
      </c>
      <c r="T197" s="8">
        <v>2.6663989234887041E-4</v>
      </c>
      <c r="U197" s="7">
        <v>9.6787135026028981</v>
      </c>
    </row>
    <row r="198" spans="1:21" x14ac:dyDescent="0.3">
      <c r="A198" s="4">
        <v>31898</v>
      </c>
      <c r="B198" s="12">
        <v>319.44285889999998</v>
      </c>
      <c r="C198" s="12">
        <v>74.794392578769489</v>
      </c>
      <c r="D198" s="5">
        <f t="shared" si="6"/>
        <v>5</v>
      </c>
      <c r="Q198" s="4">
        <v>31898</v>
      </c>
      <c r="R198" s="7">
        <v>127.0904758758503</v>
      </c>
      <c r="S198" s="7">
        <v>127.16607329234253</v>
      </c>
      <c r="T198" s="8">
        <v>0.69301882689256922</v>
      </c>
      <c r="U198" s="7">
        <v>126.11985768707</v>
      </c>
    </row>
    <row r="199" spans="1:21" x14ac:dyDescent="0.3">
      <c r="A199" s="4">
        <v>31929</v>
      </c>
      <c r="B199" s="12">
        <v>29.1984888</v>
      </c>
      <c r="C199" s="12">
        <v>10.4008823109325</v>
      </c>
      <c r="D199" s="5">
        <f t="shared" si="6"/>
        <v>6</v>
      </c>
      <c r="Q199" s="4">
        <v>31929</v>
      </c>
      <c r="R199" s="7">
        <v>10.537923885651921</v>
      </c>
      <c r="S199" s="7">
        <v>18.127671413183812</v>
      </c>
      <c r="T199" s="8">
        <v>0.40193647653853043</v>
      </c>
      <c r="U199" s="7">
        <v>19.899370718620233</v>
      </c>
    </row>
    <row r="200" spans="1:21" x14ac:dyDescent="0.3">
      <c r="A200" s="4">
        <v>31959</v>
      </c>
      <c r="B200" s="12">
        <v>19.3253485</v>
      </c>
      <c r="C200" s="12">
        <v>8.8908529476611751</v>
      </c>
      <c r="D200" s="5">
        <f t="shared" si="6"/>
        <v>7</v>
      </c>
      <c r="Q200" s="4">
        <v>31959</v>
      </c>
      <c r="R200" s="7">
        <v>32.173212762872232</v>
      </c>
      <c r="S200" s="7">
        <v>33.939949343664736</v>
      </c>
      <c r="T200" s="8">
        <v>0.7231351969901566</v>
      </c>
      <c r="U200" s="7">
        <v>33.442012721153354</v>
      </c>
    </row>
    <row r="201" spans="1:21" x14ac:dyDescent="0.3">
      <c r="A201" s="4">
        <v>31990</v>
      </c>
      <c r="B201" s="12">
        <v>33.942540899999997</v>
      </c>
      <c r="C201" s="12">
        <v>15.148106509877833</v>
      </c>
      <c r="D201" s="5">
        <f t="shared" si="6"/>
        <v>8</v>
      </c>
      <c r="Q201" s="4">
        <v>31990</v>
      </c>
      <c r="R201" s="7">
        <v>82.387842655402395</v>
      </c>
      <c r="S201" s="7">
        <v>60.232618636968645</v>
      </c>
      <c r="T201" s="8">
        <v>0.88982432710558312</v>
      </c>
      <c r="U201" s="7">
        <v>62.467756208991339</v>
      </c>
    </row>
    <row r="202" spans="1:21" x14ac:dyDescent="0.3">
      <c r="A202" s="4">
        <v>32021</v>
      </c>
      <c r="B202" s="12">
        <v>23.671156</v>
      </c>
      <c r="C202" s="12">
        <v>9.6338087096228389</v>
      </c>
      <c r="D202" s="5">
        <f t="shared" si="6"/>
        <v>9</v>
      </c>
      <c r="Q202" s="4">
        <v>32021</v>
      </c>
      <c r="R202" s="7">
        <v>32.281310715492133</v>
      </c>
      <c r="S202" s="7">
        <v>47.413470130793016</v>
      </c>
      <c r="T202" s="8">
        <v>0.48366002935832386</v>
      </c>
      <c r="U202" s="7">
        <v>46.04597531885198</v>
      </c>
    </row>
    <row r="203" spans="1:21" x14ac:dyDescent="0.3">
      <c r="A203" s="4">
        <v>32051</v>
      </c>
      <c r="B203" s="12">
        <v>219.49936270000001</v>
      </c>
      <c r="C203" s="12">
        <v>65.5133073334583</v>
      </c>
      <c r="D203" s="5">
        <f t="shared" si="6"/>
        <v>10</v>
      </c>
      <c r="Q203" s="4">
        <v>32051</v>
      </c>
      <c r="R203" s="7">
        <v>160.79702540339096</v>
      </c>
      <c r="S203" s="7">
        <v>181.18096510967584</v>
      </c>
      <c r="T203" s="8">
        <v>0.5948624409248584</v>
      </c>
      <c r="U203" s="7">
        <v>176.62285499682275</v>
      </c>
    </row>
    <row r="204" spans="1:21" x14ac:dyDescent="0.3">
      <c r="A204" s="4">
        <v>32082</v>
      </c>
      <c r="B204" s="12">
        <v>249.34859309999999</v>
      </c>
      <c r="C204" s="12">
        <v>140.24435472674662</v>
      </c>
      <c r="D204" s="5">
        <f t="shared" si="6"/>
        <v>11</v>
      </c>
      <c r="Q204" s="4">
        <v>32082</v>
      </c>
      <c r="R204" s="7">
        <v>303.95510858079115</v>
      </c>
      <c r="S204" s="7">
        <v>272.57379458595409</v>
      </c>
      <c r="T204" s="8">
        <v>0.81162774001370641</v>
      </c>
      <c r="U204" s="7">
        <v>272.42242513210488</v>
      </c>
    </row>
    <row r="205" spans="1:21" x14ac:dyDescent="0.3">
      <c r="A205" s="4">
        <v>32112</v>
      </c>
      <c r="B205" s="12">
        <v>182.74890590000001</v>
      </c>
      <c r="C205" s="12">
        <v>82.644206669647133</v>
      </c>
      <c r="D205" s="5">
        <f t="shared" si="6"/>
        <v>12</v>
      </c>
      <c r="Q205" s="4">
        <v>32112</v>
      </c>
      <c r="R205" s="7">
        <v>174.35736441217355</v>
      </c>
      <c r="S205" s="7">
        <v>185.53091082032054</v>
      </c>
      <c r="T205" s="8">
        <v>0.34572473045885399</v>
      </c>
      <c r="U205" s="7">
        <v>183.39991647502285</v>
      </c>
    </row>
    <row r="206" spans="1:21" x14ac:dyDescent="0.3">
      <c r="A206" s="4">
        <v>32143</v>
      </c>
      <c r="B206" s="12">
        <v>157.57980079999999</v>
      </c>
      <c r="C206" s="12">
        <v>102.03618274535974</v>
      </c>
      <c r="D206" s="5">
        <f t="shared" si="6"/>
        <v>1</v>
      </c>
      <c r="Q206" s="4">
        <v>32143</v>
      </c>
      <c r="R206" s="7">
        <v>140.30255850496866</v>
      </c>
      <c r="S206" s="7">
        <v>128.45464876502419</v>
      </c>
      <c r="T206" s="8">
        <v>0.43827306762449386</v>
      </c>
      <c r="U206" s="7">
        <v>129.78429603097607</v>
      </c>
    </row>
    <row r="207" spans="1:21" x14ac:dyDescent="0.3">
      <c r="A207" s="4">
        <v>32174</v>
      </c>
      <c r="B207" s="12">
        <v>167.8532773</v>
      </c>
      <c r="C207" s="12">
        <v>227.10330449044696</v>
      </c>
      <c r="D207" s="5">
        <f t="shared" si="6"/>
        <v>2</v>
      </c>
      <c r="Q207" s="4">
        <v>32174</v>
      </c>
      <c r="R207" s="7">
        <v>443.80985060102444</v>
      </c>
      <c r="S207" s="7">
        <v>378.29779340982662</v>
      </c>
      <c r="T207" s="8">
        <v>0.96996340803798553</v>
      </c>
      <c r="U207" s="7">
        <v>383.1955924408586</v>
      </c>
    </row>
    <row r="208" spans="1:21" x14ac:dyDescent="0.3">
      <c r="A208" s="4">
        <v>32203</v>
      </c>
      <c r="B208" s="12">
        <v>197.7955997</v>
      </c>
      <c r="C208" s="12">
        <v>65.590343100484361</v>
      </c>
      <c r="D208" s="5">
        <f t="shared" si="6"/>
        <v>3</v>
      </c>
      <c r="Q208" s="4">
        <v>32203</v>
      </c>
      <c r="R208" s="7">
        <v>139.76854974842615</v>
      </c>
      <c r="S208" s="7">
        <v>141.86260123504084</v>
      </c>
      <c r="T208" s="8">
        <v>0.51359396785552447</v>
      </c>
      <c r="U208" s="7">
        <v>141.46392784709775</v>
      </c>
    </row>
    <row r="209" spans="1:21" x14ac:dyDescent="0.3">
      <c r="A209" s="4">
        <v>32234</v>
      </c>
      <c r="B209" s="12">
        <v>101.5655333</v>
      </c>
      <c r="C209" s="12">
        <v>77.048130857292605</v>
      </c>
      <c r="D209" s="5">
        <f t="shared" si="6"/>
        <v>4</v>
      </c>
      <c r="Q209" s="4">
        <v>32234</v>
      </c>
      <c r="R209" s="7">
        <v>145.09794588512699</v>
      </c>
      <c r="S209" s="7">
        <v>143.42932943399228</v>
      </c>
      <c r="T209" s="8">
        <v>0.58453177539449264</v>
      </c>
      <c r="U209" s="7">
        <v>144.2103871191494</v>
      </c>
    </row>
    <row r="210" spans="1:21" x14ac:dyDescent="0.3">
      <c r="A210" s="4">
        <v>32264</v>
      </c>
      <c r="B210" s="12">
        <v>38.190784100000002</v>
      </c>
      <c r="C210" s="12">
        <v>131.28908778307968</v>
      </c>
      <c r="D210" s="5">
        <f t="shared" si="6"/>
        <v>5</v>
      </c>
      <c r="Q210" s="4">
        <v>32264</v>
      </c>
      <c r="R210" s="7">
        <v>223.08614413955564</v>
      </c>
      <c r="S210" s="7">
        <v>204.77333001915551</v>
      </c>
      <c r="T210" s="8">
        <v>0.93147518961325149</v>
      </c>
      <c r="U210" s="7">
        <v>206.59773167359762</v>
      </c>
    </row>
    <row r="211" spans="1:21" x14ac:dyDescent="0.3">
      <c r="A211" s="4">
        <v>32295</v>
      </c>
      <c r="B211" s="12">
        <v>20.4649234</v>
      </c>
      <c r="C211" s="12">
        <v>20.816564443521198</v>
      </c>
      <c r="D211" s="5">
        <f t="shared" si="6"/>
        <v>6</v>
      </c>
      <c r="Q211" s="4">
        <v>32295</v>
      </c>
      <c r="R211" s="7">
        <v>21.09084259476899</v>
      </c>
      <c r="S211" s="7">
        <v>27.924035945570797</v>
      </c>
      <c r="T211" s="8">
        <v>0.56867357283779807</v>
      </c>
      <c r="U211" s="7">
        <v>28.418835257511656</v>
      </c>
    </row>
    <row r="212" spans="1:21" x14ac:dyDescent="0.3">
      <c r="A212" s="4">
        <v>32325</v>
      </c>
      <c r="B212" s="12">
        <v>1.6851940999999999</v>
      </c>
      <c r="C212" s="12">
        <v>6.3024113471328826</v>
      </c>
      <c r="D212" s="5">
        <f t="shared" si="6"/>
        <v>7</v>
      </c>
      <c r="Q212" s="4">
        <v>32325</v>
      </c>
      <c r="R212" s="7">
        <v>22.806453147308748</v>
      </c>
      <c r="S212" s="7">
        <v>26.451960008030671</v>
      </c>
      <c r="T212" s="8">
        <v>0.62556552990501246</v>
      </c>
      <c r="U212" s="7">
        <v>26.564345741311044</v>
      </c>
    </row>
    <row r="213" spans="1:21" x14ac:dyDescent="0.3">
      <c r="A213" s="4">
        <v>32356</v>
      </c>
      <c r="B213" s="12">
        <v>2.5017209</v>
      </c>
      <c r="C213" s="12">
        <v>0.84724293874387513</v>
      </c>
      <c r="D213" s="5">
        <f t="shared" si="6"/>
        <v>8</v>
      </c>
      <c r="Q213" s="4">
        <v>32356</v>
      </c>
      <c r="R213" s="7">
        <v>4.6080028472610772</v>
      </c>
      <c r="S213" s="7">
        <v>26.516644961704618</v>
      </c>
      <c r="T213" s="8">
        <v>0.27551260890628998</v>
      </c>
      <c r="U213" s="7">
        <v>16.312858032072416</v>
      </c>
    </row>
    <row r="214" spans="1:21" x14ac:dyDescent="0.3">
      <c r="A214" s="4">
        <v>32387</v>
      </c>
      <c r="B214" s="12">
        <v>36.899288900000002</v>
      </c>
      <c r="C214" s="12">
        <v>1.2899633486385122E-5</v>
      </c>
      <c r="D214" s="5">
        <f t="shared" si="6"/>
        <v>9</v>
      </c>
      <c r="Q214" s="4">
        <v>32387</v>
      </c>
      <c r="R214" s="7">
        <v>4.3224553158713047E-5</v>
      </c>
      <c r="S214" s="7">
        <v>1.0960775047545859E-2</v>
      </c>
      <c r="T214" s="8">
        <v>4.6035093553675192E-5</v>
      </c>
      <c r="U214" s="7">
        <v>0.10559583140651853</v>
      </c>
    </row>
    <row r="215" spans="1:21" x14ac:dyDescent="0.3">
      <c r="A215" s="4">
        <v>32417</v>
      </c>
      <c r="B215" s="12">
        <v>155.0838957</v>
      </c>
      <c r="C215" s="12">
        <v>0.69214021941661608</v>
      </c>
      <c r="D215" s="5">
        <f t="shared" si="6"/>
        <v>10</v>
      </c>
      <c r="Q215" s="4">
        <v>32417</v>
      </c>
      <c r="R215" s="7">
        <v>1.6988012508323358</v>
      </c>
      <c r="S215" s="7">
        <v>13.187460080606897</v>
      </c>
      <c r="T215" s="8">
        <v>4.1268094837397396E-3</v>
      </c>
      <c r="U215" s="7">
        <v>22.810306344277119</v>
      </c>
    </row>
    <row r="216" spans="1:21" x14ac:dyDescent="0.3">
      <c r="A216" s="4">
        <v>32448</v>
      </c>
      <c r="B216" s="12">
        <v>301.68988339999999</v>
      </c>
      <c r="C216" s="12">
        <v>138.02326878067103</v>
      </c>
      <c r="D216" s="5">
        <f t="shared" si="6"/>
        <v>11</v>
      </c>
      <c r="Q216" s="4">
        <v>32448</v>
      </c>
      <c r="R216" s="7">
        <v>299.14129328518038</v>
      </c>
      <c r="S216" s="7">
        <v>269.97466524749541</v>
      </c>
      <c r="T216" s="8">
        <v>0.80337935472820576</v>
      </c>
      <c r="U216" s="7">
        <v>269.57293179547185</v>
      </c>
    </row>
    <row r="217" spans="1:21" x14ac:dyDescent="0.3">
      <c r="A217" s="4">
        <v>32478</v>
      </c>
      <c r="B217" s="12">
        <v>262.92180359999998</v>
      </c>
      <c r="C217" s="12">
        <v>34.724678299971792</v>
      </c>
      <c r="D217" s="5">
        <f t="shared" si="6"/>
        <v>12</v>
      </c>
      <c r="Q217" s="4">
        <v>32478</v>
      </c>
      <c r="R217" s="7">
        <v>73.259864573995884</v>
      </c>
      <c r="S217" s="7">
        <v>89.479271487942043</v>
      </c>
      <c r="T217" s="8">
        <v>3.4048259965185457E-2</v>
      </c>
      <c r="U217" s="7">
        <v>88.976161513445632</v>
      </c>
    </row>
    <row r="218" spans="1:21" x14ac:dyDescent="0.3">
      <c r="A218" s="4">
        <v>32509</v>
      </c>
      <c r="B218" s="12">
        <v>31.209526700000001</v>
      </c>
      <c r="C218" s="12">
        <v>104.14590651635081</v>
      </c>
      <c r="D218" s="5">
        <f t="shared" si="6"/>
        <v>1</v>
      </c>
      <c r="Q218" s="4">
        <v>32509</v>
      </c>
      <c r="R218" s="7">
        <v>143.20348673302175</v>
      </c>
      <c r="S218" s="7">
        <v>131.96882020672592</v>
      </c>
      <c r="T218" s="8">
        <v>0.45496530041688066</v>
      </c>
      <c r="U218" s="7">
        <v>133.39731164952215</v>
      </c>
    </row>
    <row r="219" spans="1:21" x14ac:dyDescent="0.3">
      <c r="A219" s="4">
        <v>32540</v>
      </c>
      <c r="B219" s="12">
        <v>211.0095087</v>
      </c>
      <c r="C219" s="12">
        <v>108.18070974200964</v>
      </c>
      <c r="D219" s="5">
        <f t="shared" si="6"/>
        <v>2</v>
      </c>
      <c r="Q219" s="4">
        <v>32540</v>
      </c>
      <c r="R219" s="7">
        <v>211.40892131111059</v>
      </c>
      <c r="S219" s="7">
        <v>213.00357612195717</v>
      </c>
      <c r="T219" s="8">
        <v>0.63167055428222407</v>
      </c>
      <c r="U219" s="7">
        <v>211.34120464940361</v>
      </c>
    </row>
    <row r="220" spans="1:21" x14ac:dyDescent="0.3">
      <c r="A220" s="4">
        <v>32568</v>
      </c>
      <c r="B220" s="12">
        <v>146.7957203</v>
      </c>
      <c r="C220" s="12">
        <v>40.191564965061957</v>
      </c>
      <c r="D220" s="5">
        <f t="shared" si="6"/>
        <v>3</v>
      </c>
      <c r="Q220" s="4">
        <v>32568</v>
      </c>
      <c r="R220" s="7">
        <v>85.645485017212536</v>
      </c>
      <c r="S220" s="7">
        <v>90.250177408111085</v>
      </c>
      <c r="T220" s="8">
        <v>0.20941275060677828</v>
      </c>
      <c r="U220" s="7">
        <v>90.307089334134446</v>
      </c>
    </row>
    <row r="221" spans="1:21" x14ac:dyDescent="0.3">
      <c r="A221" s="4">
        <v>32599</v>
      </c>
      <c r="B221" s="12">
        <v>134.37596919999999</v>
      </c>
      <c r="C221" s="12">
        <v>92.063122778199485</v>
      </c>
      <c r="D221" s="5">
        <f t="shared" si="6"/>
        <v>4</v>
      </c>
      <c r="Q221" s="4">
        <v>32599</v>
      </c>
      <c r="R221" s="7">
        <v>173.37435520179969</v>
      </c>
      <c r="S221" s="7">
        <v>175.43119121245991</v>
      </c>
      <c r="T221" s="8">
        <v>0.73126930728101192</v>
      </c>
      <c r="U221" s="7">
        <v>176.04083137376725</v>
      </c>
    </row>
    <row r="222" spans="1:21" x14ac:dyDescent="0.3">
      <c r="A222" s="4">
        <v>32629</v>
      </c>
      <c r="B222" s="12">
        <v>110.1229297</v>
      </c>
      <c r="C222" s="12">
        <v>21.5985012415331</v>
      </c>
      <c r="D222" s="5">
        <f t="shared" si="6"/>
        <v>5</v>
      </c>
      <c r="Q222" s="4">
        <v>32629</v>
      </c>
      <c r="R222" s="7">
        <v>36.700128262967503</v>
      </c>
      <c r="S222" s="7">
        <v>44.423880706042745</v>
      </c>
      <c r="T222" s="8">
        <v>0.13272160786456869</v>
      </c>
      <c r="U222" s="7">
        <v>44.30261448248163</v>
      </c>
    </row>
    <row r="223" spans="1:21" x14ac:dyDescent="0.3">
      <c r="A223" s="4">
        <v>32660</v>
      </c>
      <c r="B223" s="12">
        <v>54.116217499999998</v>
      </c>
      <c r="C223" s="12">
        <v>47.680235118605232</v>
      </c>
      <c r="D223" s="5">
        <f t="shared" si="6"/>
        <v>6</v>
      </c>
      <c r="Q223" s="4">
        <v>32660</v>
      </c>
      <c r="R223" s="7">
        <v>48.308467830822124</v>
      </c>
      <c r="S223" s="7">
        <v>46.783980297159978</v>
      </c>
      <c r="T223" s="8">
        <v>0.79064027959873184</v>
      </c>
      <c r="U223" s="7">
        <v>45.423563368351509</v>
      </c>
    </row>
    <row r="224" spans="1:21" x14ac:dyDescent="0.3">
      <c r="A224" s="4">
        <v>32690</v>
      </c>
      <c r="B224" s="12">
        <v>68.824260300000006</v>
      </c>
      <c r="C224" s="12">
        <v>6.6802426255890177</v>
      </c>
      <c r="D224" s="5">
        <f t="shared" si="6"/>
        <v>7</v>
      </c>
      <c r="Q224" s="4">
        <v>32690</v>
      </c>
      <c r="R224" s="7">
        <v>24.173706231101459</v>
      </c>
      <c r="S224" s="7">
        <v>27.591474116096094</v>
      </c>
      <c r="T224" s="8">
        <v>0.64208711659144779</v>
      </c>
      <c r="U224" s="7">
        <v>27.604160251691166</v>
      </c>
    </row>
    <row r="225" spans="1:21" x14ac:dyDescent="0.3">
      <c r="A225" s="4">
        <v>32721</v>
      </c>
      <c r="B225" s="12">
        <v>3.9353321000000001</v>
      </c>
      <c r="C225" s="12">
        <v>2.7372319069400004</v>
      </c>
      <c r="D225" s="5">
        <f t="shared" si="6"/>
        <v>8</v>
      </c>
      <c r="Q225" s="4">
        <v>32721</v>
      </c>
      <c r="R225" s="7">
        <v>14.887314893994533</v>
      </c>
      <c r="S225" s="7">
        <v>37.018889114314995</v>
      </c>
      <c r="T225" s="8">
        <v>0.48751137899934538</v>
      </c>
      <c r="U225" s="7">
        <v>26.432767343001128</v>
      </c>
    </row>
    <row r="226" spans="1:21" x14ac:dyDescent="0.3">
      <c r="A226" s="4">
        <v>32752</v>
      </c>
      <c r="B226" s="12">
        <v>34.574915599999997</v>
      </c>
      <c r="C226" s="12">
        <v>15.735174863948485</v>
      </c>
      <c r="D226" s="5">
        <f t="shared" si="6"/>
        <v>9</v>
      </c>
      <c r="Q226" s="4">
        <v>32752</v>
      </c>
      <c r="R226" s="7">
        <v>52.725986601576281</v>
      </c>
      <c r="S226" s="7">
        <v>64.241215621267273</v>
      </c>
      <c r="T226" s="8">
        <v>0.62299183103380718</v>
      </c>
      <c r="U226" s="7">
        <v>61.553522644564843</v>
      </c>
    </row>
    <row r="227" spans="1:21" x14ac:dyDescent="0.3">
      <c r="A227" s="4">
        <v>32782</v>
      </c>
      <c r="B227" s="12">
        <v>159.09879670000001</v>
      </c>
      <c r="C227" s="12">
        <v>124.11363384453573</v>
      </c>
      <c r="D227" s="5">
        <f t="shared" si="6"/>
        <v>10</v>
      </c>
      <c r="Q227" s="4">
        <v>32782</v>
      </c>
      <c r="R227" s="7">
        <v>304.62670786297917</v>
      </c>
      <c r="S227" s="7">
        <v>261.76061235921395</v>
      </c>
      <c r="T227" s="8">
        <v>0.84046832183127385</v>
      </c>
      <c r="U227" s="7">
        <v>257.51015111319191</v>
      </c>
    </row>
    <row r="228" spans="1:21" x14ac:dyDescent="0.3">
      <c r="A228" s="4">
        <v>32813</v>
      </c>
      <c r="B228" s="12">
        <v>220.115655</v>
      </c>
      <c r="C228" s="12">
        <v>43.903116951696461</v>
      </c>
      <c r="D228" s="5">
        <f t="shared" si="6"/>
        <v>11</v>
      </c>
      <c r="Q228" s="4">
        <v>32813</v>
      </c>
      <c r="R228" s="7">
        <v>95.152326851863421</v>
      </c>
      <c r="S228" s="7">
        <v>135.75624324874502</v>
      </c>
      <c r="T228" s="8">
        <v>0.17343464919961502</v>
      </c>
      <c r="U228" s="7">
        <v>133.38335442761638</v>
      </c>
    </row>
    <row r="229" spans="1:21" x14ac:dyDescent="0.3">
      <c r="A229" s="4">
        <v>32843</v>
      </c>
      <c r="B229" s="12">
        <v>150.13712390000001</v>
      </c>
      <c r="C229" s="12">
        <v>89.412742992863002</v>
      </c>
      <c r="D229" s="5">
        <f t="shared" si="6"/>
        <v>12</v>
      </c>
      <c r="Q229" s="4">
        <v>32843</v>
      </c>
      <c r="R229" s="7">
        <v>188.637181495558</v>
      </c>
      <c r="S229" s="7">
        <v>198.22895328340445</v>
      </c>
      <c r="T229" s="8">
        <v>0.40212787864719041</v>
      </c>
      <c r="U229" s="7">
        <v>196.11272366961072</v>
      </c>
    </row>
    <row r="230" spans="1:21" x14ac:dyDescent="0.3">
      <c r="A230" s="4">
        <v>32874</v>
      </c>
      <c r="B230" s="12">
        <v>8.3972560999999999</v>
      </c>
      <c r="C230" s="12">
        <v>40.560844089486579</v>
      </c>
      <c r="D230" s="5">
        <f t="shared" si="6"/>
        <v>1</v>
      </c>
      <c r="Q230" s="4">
        <v>32874</v>
      </c>
      <c r="R230" s="7">
        <v>55.772276537215923</v>
      </c>
      <c r="S230" s="7">
        <v>38.051847638360954</v>
      </c>
      <c r="T230" s="8">
        <v>3.5367690634776072E-2</v>
      </c>
      <c r="U230" s="7">
        <v>35.412306866356694</v>
      </c>
    </row>
    <row r="231" spans="1:21" x14ac:dyDescent="0.3">
      <c r="A231" s="4">
        <v>32905</v>
      </c>
      <c r="B231" s="12">
        <v>71.705783100000005</v>
      </c>
      <c r="C231" s="12">
        <v>183.15650252625355</v>
      </c>
      <c r="D231" s="5">
        <f t="shared" si="6"/>
        <v>2</v>
      </c>
      <c r="Q231" s="4">
        <v>32905</v>
      </c>
      <c r="R231" s="7">
        <v>357.9281252871512</v>
      </c>
      <c r="S231" s="7">
        <v>320.25387203015003</v>
      </c>
      <c r="T231" s="8">
        <v>0.91761099275490421</v>
      </c>
      <c r="U231" s="7">
        <v>321.37283630802091</v>
      </c>
    </row>
    <row r="232" spans="1:21" x14ac:dyDescent="0.3">
      <c r="A232" s="4">
        <v>32933</v>
      </c>
      <c r="B232" s="12">
        <v>21.899130799999998</v>
      </c>
      <c r="C232" s="12">
        <v>74.643409880809457</v>
      </c>
      <c r="D232" s="5">
        <f t="shared" si="6"/>
        <v>3</v>
      </c>
      <c r="Q232" s="4">
        <v>32933</v>
      </c>
      <c r="R232" s="7">
        <v>159.06001789524163</v>
      </c>
      <c r="S232" s="7">
        <v>159.85285876700453</v>
      </c>
      <c r="T232" s="8">
        <v>0.61009062276963066</v>
      </c>
      <c r="U232" s="7">
        <v>159.40330272458431</v>
      </c>
    </row>
    <row r="233" spans="1:21" x14ac:dyDescent="0.3">
      <c r="A233" s="4">
        <v>32964</v>
      </c>
      <c r="B233" s="12">
        <v>136.41058849999999</v>
      </c>
      <c r="C233" s="12">
        <v>79.650659929029743</v>
      </c>
      <c r="D233" s="5">
        <f t="shared" si="6"/>
        <v>4</v>
      </c>
      <c r="Q233" s="4">
        <v>32964</v>
      </c>
      <c r="R233" s="7">
        <v>149.99905923094988</v>
      </c>
      <c r="S233" s="7">
        <v>148.92176351143144</v>
      </c>
      <c r="T233" s="8">
        <v>0.61290192719550451</v>
      </c>
      <c r="U233" s="7">
        <v>149.69448524712553</v>
      </c>
    </row>
    <row r="234" spans="1:21" x14ac:dyDescent="0.3">
      <c r="A234" s="4">
        <v>32994</v>
      </c>
      <c r="B234" s="12">
        <v>137.04698339999999</v>
      </c>
      <c r="C234" s="12">
        <v>72.631944227032491</v>
      </c>
      <c r="D234" s="5">
        <f t="shared" si="6"/>
        <v>5</v>
      </c>
      <c r="Q234" s="4">
        <v>32994</v>
      </c>
      <c r="R234" s="7">
        <v>123.41604814666231</v>
      </c>
      <c r="S234" s="7">
        <v>124.04606547176772</v>
      </c>
      <c r="T234" s="8">
        <v>0.67665244387490664</v>
      </c>
      <c r="U234" s="7">
        <v>122.95868037790846</v>
      </c>
    </row>
    <row r="235" spans="1:21" x14ac:dyDescent="0.3">
      <c r="A235" s="4">
        <v>33025</v>
      </c>
      <c r="B235" s="12">
        <v>3.6915695999999998</v>
      </c>
      <c r="C235" s="12">
        <v>14.24528686038685</v>
      </c>
      <c r="D235" s="5">
        <f t="shared" si="6"/>
        <v>6</v>
      </c>
      <c r="Q235" s="4">
        <v>33025</v>
      </c>
      <c r="R235" s="7">
        <v>14.432982142894305</v>
      </c>
      <c r="S235" s="7">
        <v>22.049566315782997</v>
      </c>
      <c r="T235" s="8">
        <v>0.47311909836848598</v>
      </c>
      <c r="U235" s="7">
        <v>23.304505381165988</v>
      </c>
    </row>
    <row r="236" spans="1:21" x14ac:dyDescent="0.3">
      <c r="A236" s="4">
        <v>33055</v>
      </c>
      <c r="B236" s="12">
        <v>3.9328050999999999</v>
      </c>
      <c r="C236" s="12">
        <v>12.167994768242357</v>
      </c>
      <c r="D236" s="5">
        <f t="shared" si="6"/>
        <v>7</v>
      </c>
      <c r="Q236" s="4">
        <v>33055</v>
      </c>
      <c r="R236" s="7">
        <v>44.032162817310024</v>
      </c>
      <c r="S236" s="7">
        <v>42.60205040221485</v>
      </c>
      <c r="T236" s="8">
        <v>0.80771967936208555</v>
      </c>
      <c r="U236" s="7">
        <v>41.557123124009166</v>
      </c>
    </row>
    <row r="237" spans="1:21" x14ac:dyDescent="0.3">
      <c r="A237" s="4">
        <v>33086</v>
      </c>
      <c r="B237" s="12">
        <v>64.961285000000004</v>
      </c>
      <c r="C237" s="12">
        <v>5.9197921291342945</v>
      </c>
      <c r="D237" s="5">
        <f t="shared" si="6"/>
        <v>8</v>
      </c>
      <c r="Q237" s="4">
        <v>33086</v>
      </c>
      <c r="R237" s="7">
        <v>32.196690864945552</v>
      </c>
      <c r="S237" s="7">
        <v>46.10357812447706</v>
      </c>
      <c r="T237" s="8">
        <v>0.67346735191240514</v>
      </c>
      <c r="U237" s="7">
        <v>37.871753739173315</v>
      </c>
    </row>
    <row r="238" spans="1:21" x14ac:dyDescent="0.3">
      <c r="A238" s="4">
        <v>33117</v>
      </c>
      <c r="B238" s="12">
        <v>28.739776299999999</v>
      </c>
      <c r="C238" s="12">
        <v>6.3359691412188184</v>
      </c>
      <c r="D238" s="5">
        <f t="shared" si="6"/>
        <v>9</v>
      </c>
      <c r="Q238" s="4">
        <v>33117</v>
      </c>
      <c r="R238" s="7">
        <v>21.230791963634697</v>
      </c>
      <c r="S238" s="7">
        <v>36.579386086256086</v>
      </c>
      <c r="T238" s="8">
        <v>0.37976926588662241</v>
      </c>
      <c r="U238" s="7">
        <v>36.360112406905785</v>
      </c>
    </row>
    <row r="239" spans="1:21" x14ac:dyDescent="0.3">
      <c r="A239" s="4">
        <v>33147</v>
      </c>
      <c r="B239" s="12">
        <v>114.8667864</v>
      </c>
      <c r="C239" s="12">
        <v>53.50183714181199</v>
      </c>
      <c r="D239" s="5">
        <f t="shared" si="6"/>
        <v>10</v>
      </c>
      <c r="Q239" s="4">
        <v>33147</v>
      </c>
      <c r="R239" s="7">
        <v>131.31585957386741</v>
      </c>
      <c r="S239" s="7">
        <v>161.23547454135789</v>
      </c>
      <c r="T239" s="8">
        <v>0.51287391795640502</v>
      </c>
      <c r="U239" s="7">
        <v>157.80658223242114</v>
      </c>
    </row>
    <row r="240" spans="1:21" x14ac:dyDescent="0.3">
      <c r="A240" s="4">
        <v>33178</v>
      </c>
      <c r="B240" s="12">
        <v>233.36038550000001</v>
      </c>
      <c r="C240" s="12">
        <v>207.18305697664607</v>
      </c>
      <c r="D240" s="5">
        <f t="shared" si="6"/>
        <v>11</v>
      </c>
      <c r="Q240" s="4">
        <v>33178</v>
      </c>
      <c r="R240" s="7">
        <v>449.03303738775435</v>
      </c>
      <c r="S240" s="7">
        <v>344.50516555903778</v>
      </c>
      <c r="T240" s="8">
        <v>0.95331016279697767</v>
      </c>
      <c r="U240" s="7">
        <v>354.60361054285494</v>
      </c>
    </row>
    <row r="241" spans="1:21" x14ac:dyDescent="0.3">
      <c r="A241" s="4">
        <v>33208</v>
      </c>
      <c r="B241" s="12">
        <v>452.79219110000003</v>
      </c>
      <c r="C241" s="12">
        <v>20.353817223804079</v>
      </c>
      <c r="D241" s="5">
        <f t="shared" si="6"/>
        <v>12</v>
      </c>
      <c r="Q241" s="4">
        <v>33208</v>
      </c>
      <c r="R241" s="7">
        <v>42.941157884851101</v>
      </c>
      <c r="S241" s="7">
        <v>57.097879054598138</v>
      </c>
      <c r="T241" s="8">
        <v>5.398801824730271E-3</v>
      </c>
      <c r="U241" s="7">
        <v>57.685027002150228</v>
      </c>
    </row>
    <row r="242" spans="1:21" x14ac:dyDescent="0.3">
      <c r="A242" s="4">
        <v>33239</v>
      </c>
      <c r="B242" s="12">
        <v>121.4150317</v>
      </c>
      <c r="C242" s="12">
        <v>238.02703446708628</v>
      </c>
      <c r="D242" s="5">
        <f t="shared" si="6"/>
        <v>1</v>
      </c>
      <c r="Q242" s="4">
        <v>33239</v>
      </c>
      <c r="R242" s="7">
        <v>327.29372101683498</v>
      </c>
      <c r="S242" s="7">
        <v>392.55454577809888</v>
      </c>
      <c r="T242" s="8">
        <v>0.96883659992140037</v>
      </c>
      <c r="U242" s="7">
        <v>385.7093867550588</v>
      </c>
    </row>
    <row r="243" spans="1:21" x14ac:dyDescent="0.3">
      <c r="A243" s="4">
        <v>33270</v>
      </c>
      <c r="B243" s="12">
        <v>124.7673716</v>
      </c>
      <c r="C243" s="12">
        <v>88.739524455741105</v>
      </c>
      <c r="D243" s="5">
        <f t="shared" si="6"/>
        <v>2</v>
      </c>
      <c r="Q243" s="4">
        <v>33270</v>
      </c>
      <c r="R243" s="7">
        <v>173.41656555580886</v>
      </c>
      <c r="S243" s="7">
        <v>182.70663057119069</v>
      </c>
      <c r="T243" s="8">
        <v>0.4947958018101975</v>
      </c>
      <c r="U243" s="7">
        <v>181.26604732409888</v>
      </c>
    </row>
    <row r="244" spans="1:21" x14ac:dyDescent="0.3">
      <c r="A244" s="4">
        <v>33298</v>
      </c>
      <c r="B244" s="12">
        <v>127.67114960000001</v>
      </c>
      <c r="C244" s="12">
        <v>54.286615876480887</v>
      </c>
      <c r="D244" s="5">
        <f t="shared" si="6"/>
        <v>3</v>
      </c>
      <c r="Q244" s="4">
        <v>33298</v>
      </c>
      <c r="R244" s="7">
        <v>115.68107762725803</v>
      </c>
      <c r="S244" s="7">
        <v>119.12698192958872</v>
      </c>
      <c r="T244" s="8">
        <v>0.37948854699734053</v>
      </c>
      <c r="U244" s="7">
        <v>118.87453157603386</v>
      </c>
    </row>
    <row r="245" spans="1:21" x14ac:dyDescent="0.3">
      <c r="A245" s="4">
        <v>33329</v>
      </c>
      <c r="B245" s="12">
        <v>207.521795</v>
      </c>
      <c r="C245" s="12">
        <v>80.446587642654649</v>
      </c>
      <c r="D245" s="5">
        <f t="shared" si="6"/>
        <v>4</v>
      </c>
      <c r="Q245" s="4">
        <v>33329</v>
      </c>
      <c r="R245" s="7">
        <v>151.49795965896834</v>
      </c>
      <c r="S245" s="7">
        <v>150.60625011120266</v>
      </c>
      <c r="T245" s="8">
        <v>0.62134558528502926</v>
      </c>
      <c r="U245" s="7">
        <v>151.37464054211387</v>
      </c>
    </row>
    <row r="246" spans="1:21" x14ac:dyDescent="0.3">
      <c r="A246" s="4">
        <v>33359</v>
      </c>
      <c r="B246" s="12">
        <v>176.88675570000001</v>
      </c>
      <c r="C246" s="12">
        <v>28.741110718692521</v>
      </c>
      <c r="D246" s="5">
        <f t="shared" si="6"/>
        <v>5</v>
      </c>
      <c r="Q246" s="4">
        <v>33359</v>
      </c>
      <c r="R246" s="7">
        <v>48.836835389662156</v>
      </c>
      <c r="S246" s="7">
        <v>56.58175681890831</v>
      </c>
      <c r="T246" s="8">
        <v>0.21387887056119159</v>
      </c>
      <c r="U246" s="7">
        <v>56.079550036724129</v>
      </c>
    </row>
    <row r="247" spans="1:21" x14ac:dyDescent="0.3">
      <c r="A247" s="4">
        <v>33390</v>
      </c>
      <c r="B247" s="12">
        <v>21.2355646</v>
      </c>
      <c r="C247" s="12">
        <v>125.05440996028489</v>
      </c>
      <c r="D247" s="5">
        <f t="shared" si="6"/>
        <v>6</v>
      </c>
      <c r="Q247" s="4">
        <v>33390</v>
      </c>
      <c r="R247" s="7">
        <v>126.70212144804509</v>
      </c>
      <c r="S247" s="7">
        <v>85.280339062963904</v>
      </c>
      <c r="T247" s="8">
        <v>0.96636272388337563</v>
      </c>
      <c r="U247" s="7">
        <v>84.394308784679367</v>
      </c>
    </row>
    <row r="248" spans="1:21" x14ac:dyDescent="0.3">
      <c r="A248" s="4">
        <v>33420</v>
      </c>
      <c r="B248" s="12">
        <v>20.664609899999999</v>
      </c>
      <c r="C248" s="12">
        <v>2.2061792551539834</v>
      </c>
      <c r="D248" s="5">
        <f t="shared" si="6"/>
        <v>7</v>
      </c>
      <c r="Q248" s="4">
        <v>33420</v>
      </c>
      <c r="R248" s="7">
        <v>7.9834718881247548</v>
      </c>
      <c r="S248" s="7">
        <v>12.365859084124507</v>
      </c>
      <c r="T248" s="8">
        <v>0.36167659219065185</v>
      </c>
      <c r="U248" s="7">
        <v>13.761845487814744</v>
      </c>
    </row>
    <row r="249" spans="1:21" x14ac:dyDescent="0.3">
      <c r="A249" s="4">
        <v>33451</v>
      </c>
      <c r="B249" s="12">
        <v>63.359983499999998</v>
      </c>
      <c r="C249" s="12">
        <v>5.2238241310987963</v>
      </c>
      <c r="D249" s="5">
        <f t="shared" si="6"/>
        <v>8</v>
      </c>
      <c r="Q249" s="4">
        <v>33451</v>
      </c>
      <c r="R249" s="7">
        <v>28.411445370536462</v>
      </c>
      <c r="S249" s="7">
        <v>44.491837478016066</v>
      </c>
      <c r="T249" s="8">
        <v>0.64195822882788889</v>
      </c>
      <c r="U249" s="7">
        <v>35.626816587767948</v>
      </c>
    </row>
    <row r="250" spans="1:21" x14ac:dyDescent="0.3">
      <c r="A250" s="4">
        <v>33482</v>
      </c>
      <c r="B250" s="12">
        <v>18.068093399999999</v>
      </c>
      <c r="C250" s="12">
        <v>5.5342863997793659</v>
      </c>
      <c r="D250" s="5">
        <f t="shared" si="6"/>
        <v>9</v>
      </c>
      <c r="Q250" s="4">
        <v>33482</v>
      </c>
      <c r="R250" s="7">
        <v>18.544484766585558</v>
      </c>
      <c r="S250" s="7">
        <v>33.640613758485244</v>
      </c>
      <c r="T250" s="8">
        <v>0.34993674229991167</v>
      </c>
      <c r="U250" s="7">
        <v>33.760352014947969</v>
      </c>
    </row>
    <row r="251" spans="1:21" x14ac:dyDescent="0.3">
      <c r="A251" s="4">
        <v>33512</v>
      </c>
      <c r="B251" s="12">
        <v>151.88512929999999</v>
      </c>
      <c r="C251" s="12">
        <v>56.452455127146017</v>
      </c>
      <c r="D251" s="5">
        <f t="shared" si="6"/>
        <v>10</v>
      </c>
      <c r="Q251" s="4">
        <v>33512</v>
      </c>
      <c r="R251" s="7">
        <v>138.55790877661238</v>
      </c>
      <c r="S251" s="7">
        <v>166.29759720755976</v>
      </c>
      <c r="T251" s="8">
        <v>0.53428612474963444</v>
      </c>
      <c r="U251" s="7">
        <v>162.54025039030927</v>
      </c>
    </row>
    <row r="252" spans="1:21" x14ac:dyDescent="0.3">
      <c r="A252" s="4">
        <v>33543</v>
      </c>
      <c r="B252" s="12">
        <v>213.2590141</v>
      </c>
      <c r="C252" s="12">
        <v>202.17554038390529</v>
      </c>
      <c r="D252" s="5">
        <f t="shared" si="6"/>
        <v>11</v>
      </c>
      <c r="Q252" s="4">
        <v>33543</v>
      </c>
      <c r="R252" s="7">
        <v>438.18012104304847</v>
      </c>
      <c r="S252" s="7">
        <v>339.48333664497693</v>
      </c>
      <c r="T252" s="8">
        <v>0.9478795075226365</v>
      </c>
      <c r="U252" s="7">
        <v>348.65753201185083</v>
      </c>
    </row>
    <row r="253" spans="1:21" x14ac:dyDescent="0.3">
      <c r="A253" s="4">
        <v>33573</v>
      </c>
      <c r="B253" s="12">
        <v>86.718637700000002</v>
      </c>
      <c r="C253" s="12">
        <v>215.76112539041785</v>
      </c>
      <c r="D253" s="5">
        <f t="shared" si="6"/>
        <v>12</v>
      </c>
      <c r="Q253" s="4">
        <v>33573</v>
      </c>
      <c r="R253" s="7">
        <v>455.19876929854229</v>
      </c>
      <c r="S253" s="7">
        <v>415.82108266340913</v>
      </c>
      <c r="T253" s="8">
        <v>0.95724903079128021</v>
      </c>
      <c r="U253" s="7">
        <v>422.13997219581495</v>
      </c>
    </row>
    <row r="254" spans="1:21" x14ac:dyDescent="0.3">
      <c r="A254" s="4">
        <v>33604</v>
      </c>
      <c r="B254" s="12">
        <v>51.651310000000002</v>
      </c>
      <c r="C254" s="12">
        <v>62.458536133635818</v>
      </c>
      <c r="D254" s="5">
        <f t="shared" si="6"/>
        <v>1</v>
      </c>
      <c r="Q254" s="4">
        <v>33604</v>
      </c>
      <c r="R254" s="7">
        <v>85.882205549507916</v>
      </c>
      <c r="S254" s="7">
        <v>67.240505761617726</v>
      </c>
      <c r="T254" s="8">
        <v>0.13776432817670897</v>
      </c>
      <c r="U254" s="7">
        <v>65.99845450362956</v>
      </c>
    </row>
    <row r="255" spans="1:21" x14ac:dyDescent="0.3">
      <c r="A255" s="4">
        <v>33635</v>
      </c>
      <c r="B255" s="12">
        <v>61.366273900000003</v>
      </c>
      <c r="C255" s="12">
        <v>66.845465102232922</v>
      </c>
      <c r="D255" s="5">
        <f t="shared" si="6"/>
        <v>2</v>
      </c>
      <c r="Q255" s="4">
        <v>33635</v>
      </c>
      <c r="R255" s="7">
        <v>130.63075390708772</v>
      </c>
      <c r="S255" s="7">
        <v>146.70857611118012</v>
      </c>
      <c r="T255" s="8">
        <v>0.31731938140200949</v>
      </c>
      <c r="U255" s="7">
        <v>146.09022300814956</v>
      </c>
    </row>
    <row r="256" spans="1:21" x14ac:dyDescent="0.3">
      <c r="A256" s="4">
        <v>33664</v>
      </c>
      <c r="B256" s="12">
        <v>109.5191387</v>
      </c>
      <c r="C256" s="12">
        <v>75.655768602155121</v>
      </c>
      <c r="D256" s="5">
        <f t="shared" si="6"/>
        <v>3</v>
      </c>
      <c r="Q256" s="4">
        <v>33664</v>
      </c>
      <c r="R256" s="7">
        <v>161.2172853163143</v>
      </c>
      <c r="S256" s="7">
        <v>161.85385665928416</v>
      </c>
      <c r="T256" s="8">
        <v>0.62010109344837405</v>
      </c>
      <c r="U256" s="7">
        <v>161.40222278997399</v>
      </c>
    </row>
    <row r="257" spans="1:21" x14ac:dyDescent="0.3">
      <c r="A257" s="4">
        <v>33695</v>
      </c>
      <c r="B257" s="12">
        <v>299.96007520000001</v>
      </c>
      <c r="C257" s="12">
        <v>72.405135899316406</v>
      </c>
      <c r="D257" s="5">
        <f t="shared" si="6"/>
        <v>4</v>
      </c>
      <c r="Q257" s="4">
        <v>33695</v>
      </c>
      <c r="R257" s="7">
        <v>136.3542031925866</v>
      </c>
      <c r="S257" s="7">
        <v>133.6914548021806</v>
      </c>
      <c r="T257" s="8">
        <v>0.53122897502185007</v>
      </c>
      <c r="U257" s="7">
        <v>134.46535242039661</v>
      </c>
    </row>
    <row r="258" spans="1:21" x14ac:dyDescent="0.3">
      <c r="A258" s="4">
        <v>33725</v>
      </c>
      <c r="B258" s="12">
        <v>137.74359010000001</v>
      </c>
      <c r="C258" s="12">
        <v>137.70249565131965</v>
      </c>
      <c r="D258" s="5">
        <f t="shared" si="6"/>
        <v>5</v>
      </c>
      <c r="Q258" s="4">
        <v>33725</v>
      </c>
      <c r="R258" s="7">
        <v>233.98379341322462</v>
      </c>
      <c r="S258" s="7">
        <v>213.21192226015319</v>
      </c>
      <c r="T258" s="8">
        <v>0.94292297999024544</v>
      </c>
      <c r="U258" s="7">
        <v>215.55090924530887</v>
      </c>
    </row>
    <row r="259" spans="1:21" x14ac:dyDescent="0.3">
      <c r="A259" s="4">
        <v>33756</v>
      </c>
      <c r="B259" s="12">
        <v>58.077540999999997</v>
      </c>
      <c r="C259" s="12">
        <v>9.3676093529211339</v>
      </c>
      <c r="D259" s="5">
        <f t="shared" ref="D259:D322" si="7">MONTH(A259)</f>
        <v>6</v>
      </c>
      <c r="Q259" s="4">
        <v>33756</v>
      </c>
      <c r="R259" s="7">
        <v>9.4910365679114737</v>
      </c>
      <c r="S259" s="7">
        <v>16.984266365980194</v>
      </c>
      <c r="T259" s="8">
        <v>0.38007975149324963</v>
      </c>
      <c r="U259" s="7">
        <v>18.903392030864637</v>
      </c>
    </row>
    <row r="260" spans="1:21" x14ac:dyDescent="0.3">
      <c r="A260" s="4">
        <v>33786</v>
      </c>
      <c r="B260" s="12">
        <v>33.199351999999998</v>
      </c>
      <c r="C260" s="12">
        <v>0.29323923984065825</v>
      </c>
      <c r="D260" s="5">
        <f t="shared" si="7"/>
        <v>7</v>
      </c>
      <c r="Q260" s="4">
        <v>33786</v>
      </c>
      <c r="R260" s="7">
        <v>1.0611409849375859</v>
      </c>
      <c r="S260" s="7">
        <v>2.8664103774097756</v>
      </c>
      <c r="T260" s="8">
        <v>0.1042951585033129</v>
      </c>
      <c r="U260" s="7">
        <v>4.4277885013608671</v>
      </c>
    </row>
    <row r="261" spans="1:21" x14ac:dyDescent="0.3">
      <c r="A261" s="4">
        <v>33817</v>
      </c>
      <c r="B261" s="12">
        <v>0.33446779999999998</v>
      </c>
      <c r="C261" s="12">
        <v>0</v>
      </c>
      <c r="D261" s="5">
        <f t="shared" si="7"/>
        <v>8</v>
      </c>
      <c r="Q261" s="4">
        <v>33817</v>
      </c>
      <c r="R261" s="7">
        <v>0</v>
      </c>
      <c r="S261" s="7">
        <v>0</v>
      </c>
      <c r="T261" s="8">
        <v>0</v>
      </c>
      <c r="U261" s="7">
        <v>0</v>
      </c>
    </row>
    <row r="262" spans="1:21" x14ac:dyDescent="0.3">
      <c r="A262" s="4">
        <v>33848</v>
      </c>
      <c r="B262" s="12">
        <v>30.723503600000001</v>
      </c>
      <c r="C262" s="12">
        <v>23.292785830562924</v>
      </c>
      <c r="D262" s="5">
        <f t="shared" si="7"/>
        <v>9</v>
      </c>
      <c r="Q262" s="4">
        <v>33848</v>
      </c>
      <c r="R262" s="7">
        <v>78.050299677919568</v>
      </c>
      <c r="S262" s="7">
        <v>81.898488411176274</v>
      </c>
      <c r="T262" s="8">
        <v>0.73863350179532805</v>
      </c>
      <c r="U262" s="7">
        <v>78.578817653443195</v>
      </c>
    </row>
    <row r="263" spans="1:21" x14ac:dyDescent="0.3">
      <c r="A263" s="4">
        <v>33878</v>
      </c>
      <c r="B263" s="12">
        <v>215.1541197</v>
      </c>
      <c r="C263" s="12">
        <v>65.005398419452803</v>
      </c>
      <c r="D263" s="5">
        <f t="shared" si="7"/>
        <v>10</v>
      </c>
      <c r="Q263" s="4">
        <v>33878</v>
      </c>
      <c r="R263" s="7">
        <v>159.550404741542</v>
      </c>
      <c r="S263" s="7">
        <v>180.37076555815815</v>
      </c>
      <c r="T263" s="8">
        <v>0.59166606726817939</v>
      </c>
      <c r="U263" s="7">
        <v>175.84977159370374</v>
      </c>
    </row>
    <row r="264" spans="1:21" x14ac:dyDescent="0.3">
      <c r="A264" s="4">
        <v>33909</v>
      </c>
      <c r="B264" s="12">
        <v>137.2045009</v>
      </c>
      <c r="C264" s="12">
        <v>49.267088121268891</v>
      </c>
      <c r="D264" s="5">
        <f t="shared" si="7"/>
        <v>11</v>
      </c>
      <c r="Q264" s="4">
        <v>33909</v>
      </c>
      <c r="R264" s="7">
        <v>106.77779614400227</v>
      </c>
      <c r="S264" s="7">
        <v>145.48080469912418</v>
      </c>
      <c r="T264" s="8">
        <v>0.21542310602409853</v>
      </c>
      <c r="U264" s="7">
        <v>142.57009022455955</v>
      </c>
    </row>
    <row r="265" spans="1:21" x14ac:dyDescent="0.3">
      <c r="A265" s="4">
        <v>33939</v>
      </c>
      <c r="B265" s="12">
        <v>219.51549220000001</v>
      </c>
      <c r="C265" s="12">
        <v>143.52698817383504</v>
      </c>
      <c r="D265" s="5">
        <f t="shared" si="7"/>
        <v>12</v>
      </c>
      <c r="Q265" s="4">
        <v>33939</v>
      </c>
      <c r="R265" s="7">
        <v>302.80389138514226</v>
      </c>
      <c r="S265" s="7">
        <v>295.13353072403311</v>
      </c>
      <c r="T265" s="8">
        <v>0.76861038967328787</v>
      </c>
      <c r="U265" s="7">
        <v>294.9239826016464</v>
      </c>
    </row>
    <row r="266" spans="1:21" x14ac:dyDescent="0.3">
      <c r="A266" s="4">
        <v>33970</v>
      </c>
      <c r="B266" s="12">
        <v>150.35672080000001</v>
      </c>
      <c r="C266" s="12">
        <v>96.47898660041399</v>
      </c>
      <c r="D266" s="5">
        <f t="shared" si="7"/>
        <v>1</v>
      </c>
      <c r="Q266" s="4">
        <v>33970</v>
      </c>
      <c r="R266" s="7">
        <v>132.66126091550845</v>
      </c>
      <c r="S266" s="7">
        <v>119.30939394694859</v>
      </c>
      <c r="T266" s="8">
        <v>0.39378433259265067</v>
      </c>
      <c r="U266" s="7">
        <v>120.35377034084979</v>
      </c>
    </row>
    <row r="267" spans="1:21" x14ac:dyDescent="0.3">
      <c r="A267" s="4">
        <v>34001</v>
      </c>
      <c r="B267" s="12">
        <v>226.221993</v>
      </c>
      <c r="C267" s="12">
        <v>119.90312905982125</v>
      </c>
      <c r="D267" s="5">
        <f t="shared" si="7"/>
        <v>2</v>
      </c>
      <c r="Q267" s="4">
        <v>34001</v>
      </c>
      <c r="R267" s="7">
        <v>234.3171091853182</v>
      </c>
      <c r="S267" s="7">
        <v>230.670582837214</v>
      </c>
      <c r="T267" s="8">
        <v>0.7009290962299366</v>
      </c>
      <c r="U267" s="7">
        <v>229.08342929459315</v>
      </c>
    </row>
    <row r="268" spans="1:21" x14ac:dyDescent="0.3">
      <c r="A268" s="4">
        <v>34029</v>
      </c>
      <c r="B268" s="12">
        <v>130.26435620000001</v>
      </c>
      <c r="C268" s="12">
        <v>44.852462725248223</v>
      </c>
      <c r="D268" s="5">
        <f t="shared" si="7"/>
        <v>3</v>
      </c>
      <c r="Q268" s="4">
        <v>34029</v>
      </c>
      <c r="R268" s="7">
        <v>95.577540403306585</v>
      </c>
      <c r="S268" s="7">
        <v>99.873703335736053</v>
      </c>
      <c r="T268" s="8">
        <v>0.26410758888272184</v>
      </c>
      <c r="U268" s="7">
        <v>99.813295376771933</v>
      </c>
    </row>
    <row r="269" spans="1:21" x14ac:dyDescent="0.3">
      <c r="A269" s="4">
        <v>34060</v>
      </c>
      <c r="B269" s="12">
        <v>79.208815700000002</v>
      </c>
      <c r="C269" s="12">
        <v>85.342975915409752</v>
      </c>
      <c r="D269" s="5">
        <f t="shared" si="7"/>
        <v>4</v>
      </c>
      <c r="Q269" s="4">
        <v>34060</v>
      </c>
      <c r="R269" s="7">
        <v>160.71889562104491</v>
      </c>
      <c r="S269" s="7">
        <v>161.01631904828866</v>
      </c>
      <c r="T269" s="8">
        <v>0.67077006803910089</v>
      </c>
      <c r="U269" s="7">
        <v>161.7396289570147</v>
      </c>
    </row>
    <row r="270" spans="1:21" x14ac:dyDescent="0.3">
      <c r="A270" s="4">
        <v>34090</v>
      </c>
      <c r="B270" s="12">
        <v>165.0778636</v>
      </c>
      <c r="C270" s="12">
        <v>18.751692996011112</v>
      </c>
      <c r="D270" s="5">
        <f t="shared" si="7"/>
        <v>5</v>
      </c>
      <c r="Q270" s="4">
        <v>34090</v>
      </c>
      <c r="R270" s="7">
        <v>31.86283762958676</v>
      </c>
      <c r="S270" s="7">
        <v>39.413288905896415</v>
      </c>
      <c r="T270" s="8">
        <v>0.10325867047342624</v>
      </c>
      <c r="U270" s="7">
        <v>39.464591697971549</v>
      </c>
    </row>
    <row r="271" spans="1:21" x14ac:dyDescent="0.3">
      <c r="A271" s="4">
        <v>34121</v>
      </c>
      <c r="B271" s="12">
        <v>24.596682999999999</v>
      </c>
      <c r="C271" s="12">
        <v>26.378393056802469</v>
      </c>
      <c r="D271" s="5">
        <f t="shared" si="7"/>
        <v>6</v>
      </c>
      <c r="Q271" s="4">
        <v>34121</v>
      </c>
      <c r="R271" s="7">
        <v>26.725953620897336</v>
      </c>
      <c r="S271" s="7">
        <v>32.360381428090371</v>
      </c>
      <c r="T271" s="8">
        <v>0.63213503877834576</v>
      </c>
      <c r="U271" s="7">
        <v>32.322754761509316</v>
      </c>
    </row>
    <row r="272" spans="1:21" x14ac:dyDescent="0.3">
      <c r="A272" s="4">
        <v>34151</v>
      </c>
      <c r="B272" s="12">
        <v>2.9321012</v>
      </c>
      <c r="C272" s="12">
        <v>7.1242281010199804</v>
      </c>
      <c r="D272" s="5">
        <f t="shared" si="7"/>
        <v>7</v>
      </c>
      <c r="Q272" s="4">
        <v>34151</v>
      </c>
      <c r="R272" s="7">
        <v>25.78035063842157</v>
      </c>
      <c r="S272" s="7">
        <v>28.908059755682661</v>
      </c>
      <c r="T272" s="8">
        <v>0.66039483451720282</v>
      </c>
      <c r="U272" s="7">
        <v>28.808309986999319</v>
      </c>
    </row>
    <row r="273" spans="1:21" x14ac:dyDescent="0.3">
      <c r="A273" s="4">
        <v>34182</v>
      </c>
      <c r="B273" s="12">
        <v>7.6125645999999998</v>
      </c>
      <c r="C273" s="12">
        <v>0.37610693966598768</v>
      </c>
      <c r="D273" s="5">
        <f t="shared" si="7"/>
        <v>8</v>
      </c>
      <c r="Q273" s="4">
        <v>34182</v>
      </c>
      <c r="R273" s="7">
        <v>2.0455783926922111</v>
      </c>
      <c r="S273" s="7">
        <v>21.046064670448612</v>
      </c>
      <c r="T273" s="8">
        <v>0.18107519623451235</v>
      </c>
      <c r="U273" s="7">
        <v>12.05706504811609</v>
      </c>
    </row>
    <row r="274" spans="1:21" x14ac:dyDescent="0.3">
      <c r="A274" s="4">
        <v>34213</v>
      </c>
      <c r="B274" s="12">
        <v>32.972645800000002</v>
      </c>
      <c r="C274" s="12">
        <v>77.975168300326985</v>
      </c>
      <c r="D274" s="5">
        <f t="shared" si="7"/>
        <v>9</v>
      </c>
      <c r="Q274" s="4">
        <v>34213</v>
      </c>
      <c r="R274" s="7">
        <v>261.28198222177417</v>
      </c>
      <c r="S274" s="7">
        <v>173.0353156929888</v>
      </c>
      <c r="T274" s="8">
        <v>0.97666162729148986</v>
      </c>
      <c r="U274" s="7">
        <v>180.41381261750763</v>
      </c>
    </row>
    <row r="275" spans="1:21" x14ac:dyDescent="0.3">
      <c r="A275" s="4">
        <v>34243</v>
      </c>
      <c r="B275" s="12">
        <v>101.2317037</v>
      </c>
      <c r="C275" s="12">
        <v>71.168649540050069</v>
      </c>
      <c r="D275" s="5">
        <f t="shared" si="7"/>
        <v>10</v>
      </c>
      <c r="Q275" s="4">
        <v>34243</v>
      </c>
      <c r="R275" s="7">
        <v>174.67759778587828</v>
      </c>
      <c r="S275" s="7">
        <v>190.02885945084867</v>
      </c>
      <c r="T275" s="8">
        <v>0.62893342808983177</v>
      </c>
      <c r="U275" s="7">
        <v>185.11508985420866</v>
      </c>
    </row>
    <row r="276" spans="1:21" x14ac:dyDescent="0.3">
      <c r="A276" s="4">
        <v>34274</v>
      </c>
      <c r="B276" s="12">
        <v>293.78789169999999</v>
      </c>
      <c r="C276" s="12">
        <v>84.184780251234727</v>
      </c>
      <c r="D276" s="5">
        <f t="shared" si="7"/>
        <v>11</v>
      </c>
      <c r="Q276" s="4">
        <v>34274</v>
      </c>
      <c r="R276" s="7">
        <v>182.45578634498875</v>
      </c>
      <c r="S276" s="7">
        <v>200.65655352977416</v>
      </c>
      <c r="T276" s="8">
        <v>0.49896366773166256</v>
      </c>
      <c r="U276" s="7">
        <v>196.61769264748031</v>
      </c>
    </row>
    <row r="277" spans="1:21" x14ac:dyDescent="0.3">
      <c r="A277" s="4">
        <v>34304</v>
      </c>
      <c r="B277" s="12">
        <v>205.4655788</v>
      </c>
      <c r="C277" s="12">
        <v>105.88165700901301</v>
      </c>
      <c r="D277" s="5">
        <f t="shared" si="7"/>
        <v>12</v>
      </c>
      <c r="Q277" s="4">
        <v>34304</v>
      </c>
      <c r="R277" s="7">
        <v>223.38222362615457</v>
      </c>
      <c r="S277" s="7">
        <v>228.51432246331336</v>
      </c>
      <c r="T277" s="8">
        <v>0.53400637929208139</v>
      </c>
      <c r="U277" s="7">
        <v>226.65623787572264</v>
      </c>
    </row>
    <row r="278" spans="1:21" x14ac:dyDescent="0.3">
      <c r="A278" s="4">
        <v>34335</v>
      </c>
      <c r="B278" s="12">
        <v>239.0143357</v>
      </c>
      <c r="C278" s="12">
        <v>168.78382600843918</v>
      </c>
      <c r="D278" s="5">
        <f t="shared" si="7"/>
        <v>1</v>
      </c>
      <c r="Q278" s="4">
        <v>34335</v>
      </c>
      <c r="R278" s="7">
        <v>232.08240435982412</v>
      </c>
      <c r="S278" s="7">
        <v>249.46462198025239</v>
      </c>
      <c r="T278" s="8">
        <v>0.83439965684990336</v>
      </c>
      <c r="U278" s="7">
        <v>250.73802026045718</v>
      </c>
    </row>
    <row r="279" spans="1:21" x14ac:dyDescent="0.3">
      <c r="A279" s="4">
        <v>34366</v>
      </c>
      <c r="B279" s="12">
        <v>340.19888459999999</v>
      </c>
      <c r="C279" s="12">
        <v>66.607143497094413</v>
      </c>
      <c r="D279" s="5">
        <f t="shared" si="7"/>
        <v>2</v>
      </c>
      <c r="Q279" s="4">
        <v>34366</v>
      </c>
      <c r="R279" s="7">
        <v>130.16502102746787</v>
      </c>
      <c r="S279" s="7">
        <v>146.30330585179996</v>
      </c>
      <c r="T279" s="8">
        <v>0.31533826390674069</v>
      </c>
      <c r="U279" s="7">
        <v>145.69749992230766</v>
      </c>
    </row>
    <row r="280" spans="1:21" x14ac:dyDescent="0.3">
      <c r="A280" s="4">
        <v>34394</v>
      </c>
      <c r="B280" s="12">
        <v>56.380270899999999</v>
      </c>
      <c r="C280" s="12">
        <v>92.724910704418917</v>
      </c>
      <c r="D280" s="5">
        <f t="shared" si="7"/>
        <v>3</v>
      </c>
      <c r="Q280" s="4">
        <v>34394</v>
      </c>
      <c r="R280" s="7">
        <v>197.5904635054919</v>
      </c>
      <c r="S280" s="7">
        <v>195.30476335834138</v>
      </c>
      <c r="T280" s="8">
        <v>0.76307560401655972</v>
      </c>
      <c r="U280" s="7">
        <v>194.92431537088859</v>
      </c>
    </row>
    <row r="281" spans="1:21" x14ac:dyDescent="0.3">
      <c r="A281" s="4">
        <v>34425</v>
      </c>
      <c r="B281" s="12">
        <v>169.3009788</v>
      </c>
      <c r="C281" s="12">
        <v>80.58694784995167</v>
      </c>
      <c r="D281" s="5">
        <f t="shared" si="7"/>
        <v>4</v>
      </c>
      <c r="Q281" s="4">
        <v>34425</v>
      </c>
      <c r="R281" s="7">
        <v>151.76228765156469</v>
      </c>
      <c r="S281" s="7">
        <v>150.90353333663202</v>
      </c>
      <c r="T281" s="8">
        <v>0.62282301777902216</v>
      </c>
      <c r="U281" s="7">
        <v>151.67107320255928</v>
      </c>
    </row>
    <row r="282" spans="1:21" x14ac:dyDescent="0.3">
      <c r="A282" s="4">
        <v>34455</v>
      </c>
      <c r="B282" s="12">
        <v>85.541292799999994</v>
      </c>
      <c r="C282" s="12">
        <v>20.954780979081985</v>
      </c>
      <c r="D282" s="5">
        <f t="shared" si="7"/>
        <v>5</v>
      </c>
      <c r="Q282" s="4">
        <v>34455</v>
      </c>
      <c r="R282" s="7">
        <v>35.606320135577732</v>
      </c>
      <c r="S282" s="7">
        <v>43.300238392223072</v>
      </c>
      <c r="T282" s="8">
        <v>0.12587360285156898</v>
      </c>
      <c r="U282" s="7">
        <v>43.217067895677822</v>
      </c>
    </row>
    <row r="283" spans="1:21" x14ac:dyDescent="0.3">
      <c r="A283" s="4">
        <v>34486</v>
      </c>
      <c r="B283" s="12">
        <v>21.200916100000001</v>
      </c>
      <c r="C283" s="12">
        <v>1.5739934980385514E-6</v>
      </c>
      <c r="D283" s="5">
        <f t="shared" si="7"/>
        <v>6</v>
      </c>
      <c r="Q283" s="4">
        <v>34486</v>
      </c>
      <c r="R283" s="7">
        <v>1.5947323681767707E-6</v>
      </c>
      <c r="S283" s="7">
        <v>1.0272046655032771E-3</v>
      </c>
      <c r="T283" s="8">
        <v>3.1941776121287102E-5</v>
      </c>
      <c r="U283" s="7">
        <v>5.0381327356781407E-2</v>
      </c>
    </row>
    <row r="284" spans="1:21" x14ac:dyDescent="0.3">
      <c r="A284" s="4">
        <v>34516</v>
      </c>
      <c r="B284" s="12">
        <v>37.963072199999999</v>
      </c>
      <c r="C284" s="12">
        <v>1.4359977374624568</v>
      </c>
      <c r="D284" s="5">
        <f t="shared" si="7"/>
        <v>7</v>
      </c>
      <c r="Q284" s="4">
        <v>34516</v>
      </c>
      <c r="R284" s="7">
        <v>5.1964261479025247</v>
      </c>
      <c r="S284" s="7">
        <v>9.0600654187295468</v>
      </c>
      <c r="T284" s="8">
        <v>0.28102347736486438</v>
      </c>
      <c r="U284" s="7">
        <v>10.685341730635626</v>
      </c>
    </row>
    <row r="285" spans="1:21" x14ac:dyDescent="0.3">
      <c r="A285" s="4">
        <v>34547</v>
      </c>
      <c r="B285" s="12">
        <v>26.130255999999999</v>
      </c>
      <c r="C285" s="12">
        <v>7.1673915552627957E-7</v>
      </c>
      <c r="D285" s="5">
        <f t="shared" si="7"/>
        <v>8</v>
      </c>
      <c r="Q285" s="4">
        <v>34547</v>
      </c>
      <c r="R285" s="7">
        <v>3.8982161058848628E-6</v>
      </c>
      <c r="S285" s="7">
        <v>0.49631348093848376</v>
      </c>
      <c r="T285" s="8">
        <v>1.6043669883966736E-4</v>
      </c>
      <c r="U285" s="7">
        <v>0.22584132792369316</v>
      </c>
    </row>
    <row r="286" spans="1:21" x14ac:dyDescent="0.3">
      <c r="A286" s="4">
        <v>34578</v>
      </c>
      <c r="B286" s="12">
        <v>28.012876299999999</v>
      </c>
      <c r="C286" s="12">
        <v>14.668170901131807</v>
      </c>
      <c r="D286" s="5">
        <f t="shared" si="7"/>
        <v>9</v>
      </c>
      <c r="Q286" s="4">
        <v>34578</v>
      </c>
      <c r="R286" s="7">
        <v>49.15063156842708</v>
      </c>
      <c r="S286" s="7">
        <v>61.508364410252575</v>
      </c>
      <c r="T286" s="8">
        <v>0.60229795666707564</v>
      </c>
      <c r="U286" s="7">
        <v>58.990294293257108</v>
      </c>
    </row>
    <row r="287" spans="1:21" x14ac:dyDescent="0.3">
      <c r="A287" s="4">
        <v>34608</v>
      </c>
      <c r="B287" s="12">
        <v>311.60373060000001</v>
      </c>
      <c r="C287" s="12">
        <v>43.746737355831925</v>
      </c>
      <c r="D287" s="5">
        <f t="shared" si="7"/>
        <v>10</v>
      </c>
      <c r="Q287" s="4">
        <v>34608</v>
      </c>
      <c r="R287" s="7">
        <v>107.37276935381749</v>
      </c>
      <c r="S287" s="7">
        <v>143.58805870063088</v>
      </c>
      <c r="T287" s="8">
        <v>0.43583373981372064</v>
      </c>
      <c r="U287" s="7">
        <v>141.51554260512239</v>
      </c>
    </row>
    <row r="288" spans="1:21" x14ac:dyDescent="0.3">
      <c r="A288" s="4">
        <v>34639</v>
      </c>
      <c r="B288" s="12">
        <v>193.2202618</v>
      </c>
      <c r="C288" s="12">
        <v>32.600298902252746</v>
      </c>
      <c r="D288" s="5">
        <f t="shared" si="7"/>
        <v>11</v>
      </c>
      <c r="Q288" s="4">
        <v>34639</v>
      </c>
      <c r="R288" s="7">
        <v>70.655445717635615</v>
      </c>
      <c r="S288" s="7">
        <v>113.54614974921178</v>
      </c>
      <c r="T288" s="8">
        <v>9.4554919529139136E-2</v>
      </c>
      <c r="U288" s="7">
        <v>112.73690540194531</v>
      </c>
    </row>
    <row r="289" spans="1:21" x14ac:dyDescent="0.3">
      <c r="A289" s="4">
        <v>34669</v>
      </c>
      <c r="B289" s="12">
        <v>239.85549140000001</v>
      </c>
      <c r="C289" s="12">
        <v>66.177850443636927</v>
      </c>
      <c r="D289" s="5">
        <f t="shared" si="7"/>
        <v>12</v>
      </c>
      <c r="Q289" s="4">
        <v>34669</v>
      </c>
      <c r="R289" s="7">
        <v>139.6177185406188</v>
      </c>
      <c r="S289" s="7">
        <v>153.90802820029882</v>
      </c>
      <c r="T289" s="8">
        <v>0.21235625438408143</v>
      </c>
      <c r="U289" s="7">
        <v>151.98091280059973</v>
      </c>
    </row>
    <row r="290" spans="1:21" x14ac:dyDescent="0.3">
      <c r="A290" s="4">
        <v>34700</v>
      </c>
      <c r="B290" s="12">
        <v>268.05485870000001</v>
      </c>
      <c r="C290" s="12">
        <v>141.58411027165116</v>
      </c>
      <c r="D290" s="5">
        <f t="shared" si="7"/>
        <v>1</v>
      </c>
      <c r="Q290" s="4">
        <v>34700</v>
      </c>
      <c r="R290" s="7">
        <v>194.68204690032513</v>
      </c>
      <c r="S290" s="7">
        <v>197.86223626108833</v>
      </c>
      <c r="T290" s="8">
        <v>0.71092004509109452</v>
      </c>
      <c r="U290" s="7">
        <v>200.01401309550141</v>
      </c>
    </row>
    <row r="291" spans="1:21" x14ac:dyDescent="0.3">
      <c r="A291" s="4">
        <v>34731</v>
      </c>
      <c r="B291" s="12">
        <v>82.151043799999997</v>
      </c>
      <c r="C291" s="12">
        <v>82.919864309951706</v>
      </c>
      <c r="D291" s="5">
        <f t="shared" si="7"/>
        <v>2</v>
      </c>
      <c r="Q291" s="4">
        <v>34731</v>
      </c>
      <c r="R291" s="7">
        <v>162.04366851388062</v>
      </c>
      <c r="S291" s="7">
        <v>173.35589235699206</v>
      </c>
      <c r="T291" s="8">
        <v>0.44926124038577742</v>
      </c>
      <c r="U291" s="7">
        <v>172.07187583072667</v>
      </c>
    </row>
    <row r="292" spans="1:21" x14ac:dyDescent="0.3">
      <c r="A292" s="4">
        <v>34759</v>
      </c>
      <c r="B292" s="12">
        <v>175.76432109999999</v>
      </c>
      <c r="C292" s="12">
        <v>24.982818122953173</v>
      </c>
      <c r="D292" s="5">
        <f t="shared" si="7"/>
        <v>3</v>
      </c>
      <c r="Q292" s="4">
        <v>34759</v>
      </c>
      <c r="R292" s="7">
        <v>53.236682301301713</v>
      </c>
      <c r="S292" s="7">
        <v>58.178717036626885</v>
      </c>
      <c r="T292" s="8">
        <v>6.4778850833517629E-2</v>
      </c>
      <c r="U292" s="7">
        <v>58.700047251803014</v>
      </c>
    </row>
    <row r="293" spans="1:21" x14ac:dyDescent="0.3">
      <c r="A293" s="4">
        <v>34790</v>
      </c>
      <c r="B293" s="12">
        <v>105.6877432</v>
      </c>
      <c r="C293" s="12">
        <v>136.94148149806995</v>
      </c>
      <c r="D293" s="5">
        <f t="shared" si="7"/>
        <v>4</v>
      </c>
      <c r="Q293" s="4">
        <v>34790</v>
      </c>
      <c r="R293" s="7">
        <v>257.88980797780619</v>
      </c>
      <c r="S293" s="7">
        <v>274.90482470148169</v>
      </c>
      <c r="T293" s="8">
        <v>0.94643819482364921</v>
      </c>
      <c r="U293" s="7">
        <v>273.24027453871503</v>
      </c>
    </row>
    <row r="294" spans="1:21" x14ac:dyDescent="0.3">
      <c r="A294" s="4">
        <v>34820</v>
      </c>
      <c r="B294" s="12">
        <v>122.025441</v>
      </c>
      <c r="C294" s="12">
        <v>64.046758163021863</v>
      </c>
      <c r="D294" s="5">
        <f t="shared" si="7"/>
        <v>5</v>
      </c>
      <c r="Q294" s="4">
        <v>34820</v>
      </c>
      <c r="R294" s="7">
        <v>108.82811789228201</v>
      </c>
      <c r="S294" s="7">
        <v>111.5133066324055</v>
      </c>
      <c r="T294" s="8">
        <v>0.60486266697253255</v>
      </c>
      <c r="U294" s="7">
        <v>110.32132093211347</v>
      </c>
    </row>
    <row r="295" spans="1:21" x14ac:dyDescent="0.3">
      <c r="A295" s="4">
        <v>34851</v>
      </c>
      <c r="B295" s="12">
        <v>13.0360415</v>
      </c>
      <c r="C295" s="12">
        <v>5.1239785534562534</v>
      </c>
      <c r="D295" s="5">
        <f t="shared" si="7"/>
        <v>6</v>
      </c>
      <c r="Q295" s="4">
        <v>34851</v>
      </c>
      <c r="R295" s="7">
        <v>5.1914918728845576</v>
      </c>
      <c r="S295" s="7">
        <v>11.665210699211208</v>
      </c>
      <c r="T295" s="8">
        <v>0.27203649162033972</v>
      </c>
      <c r="U295" s="7">
        <v>14.20471791982539</v>
      </c>
    </row>
    <row r="296" spans="1:21" x14ac:dyDescent="0.3">
      <c r="A296" s="4">
        <v>34881</v>
      </c>
      <c r="B296" s="12">
        <v>63.191833500000001</v>
      </c>
      <c r="C296" s="12">
        <v>1.0693840435124005</v>
      </c>
      <c r="D296" s="5">
        <f t="shared" si="7"/>
        <v>7</v>
      </c>
      <c r="Q296" s="4">
        <v>34881</v>
      </c>
      <c r="R296" s="7">
        <v>3.8697659897969392</v>
      </c>
      <c r="S296" s="7">
        <v>7.3180000067850477</v>
      </c>
      <c r="T296" s="8">
        <v>0.23505518827880312</v>
      </c>
      <c r="U296" s="7">
        <v>9.0204586787601659</v>
      </c>
    </row>
    <row r="297" spans="1:21" x14ac:dyDescent="0.3">
      <c r="A297" s="4">
        <v>34912</v>
      </c>
      <c r="B297" s="12">
        <v>56.554890899999997</v>
      </c>
      <c r="C297" s="12">
        <v>6.3542802861775201</v>
      </c>
      <c r="D297" s="5">
        <f t="shared" si="7"/>
        <v>8</v>
      </c>
      <c r="Q297" s="4">
        <v>34912</v>
      </c>
      <c r="R297" s="7">
        <v>34.559794259734247</v>
      </c>
      <c r="S297" s="7">
        <v>47.042057203247154</v>
      </c>
      <c r="T297" s="8">
        <v>0.69134057037996788</v>
      </c>
      <c r="U297" s="7">
        <v>39.225868026865321</v>
      </c>
    </row>
    <row r="298" spans="1:21" x14ac:dyDescent="0.3">
      <c r="A298" s="4">
        <v>34943</v>
      </c>
      <c r="B298" s="12">
        <v>117.2500866</v>
      </c>
      <c r="C298" s="12">
        <v>9.6411673657712544</v>
      </c>
      <c r="D298" s="5">
        <f t="shared" si="7"/>
        <v>9</v>
      </c>
      <c r="Q298" s="4">
        <v>34943</v>
      </c>
      <c r="R298" s="7">
        <v>32.305968363649313</v>
      </c>
      <c r="S298" s="7">
        <v>47.435887975302265</v>
      </c>
      <c r="T298" s="8">
        <v>0.48386413344900614</v>
      </c>
      <c r="U298" s="7">
        <v>46.066226194143269</v>
      </c>
    </row>
    <row r="299" spans="1:21" x14ac:dyDescent="0.3">
      <c r="A299" s="4">
        <v>34973</v>
      </c>
      <c r="B299" s="12">
        <v>55.145026199999997</v>
      </c>
      <c r="C299" s="12">
        <v>94.017018587328394</v>
      </c>
      <c r="D299" s="5">
        <f t="shared" si="7"/>
        <v>10</v>
      </c>
      <c r="Q299" s="4">
        <v>34973</v>
      </c>
      <c r="R299" s="7">
        <v>230.75704069083054</v>
      </c>
      <c r="S299" s="7">
        <v>223.07436728263824</v>
      </c>
      <c r="T299" s="8">
        <v>0.74117480461241869</v>
      </c>
      <c r="U299" s="7">
        <v>217.6637268054611</v>
      </c>
    </row>
    <row r="300" spans="1:21" x14ac:dyDescent="0.3">
      <c r="A300" s="4">
        <v>35004</v>
      </c>
      <c r="B300" s="12">
        <v>171.9828191</v>
      </c>
      <c r="C300" s="12">
        <v>91.915464028716087</v>
      </c>
      <c r="D300" s="5">
        <f t="shared" si="7"/>
        <v>11</v>
      </c>
      <c r="Q300" s="4">
        <v>35004</v>
      </c>
      <c r="R300" s="7">
        <v>199.21069125054765</v>
      </c>
      <c r="S300" s="7">
        <v>211.52084747800066</v>
      </c>
      <c r="T300" s="8">
        <v>0.55541389527880514</v>
      </c>
      <c r="U300" s="7">
        <v>207.66978957896268</v>
      </c>
    </row>
    <row r="301" spans="1:21" x14ac:dyDescent="0.3">
      <c r="A301" s="4">
        <v>35034</v>
      </c>
      <c r="B301" s="12">
        <v>284.58998639999999</v>
      </c>
      <c r="C301" s="12">
        <v>100.20306083606563</v>
      </c>
      <c r="D301" s="5">
        <f t="shared" si="7"/>
        <v>12</v>
      </c>
      <c r="Q301" s="4">
        <v>35034</v>
      </c>
      <c r="R301" s="7">
        <v>211.40189128133702</v>
      </c>
      <c r="S301" s="7">
        <v>218.16266187018454</v>
      </c>
      <c r="T301" s="8">
        <v>0.48989940227471956</v>
      </c>
      <c r="U301" s="7">
        <v>216.181167918005</v>
      </c>
    </row>
    <row r="302" spans="1:21" x14ac:dyDescent="0.3">
      <c r="A302" s="4">
        <v>35065</v>
      </c>
      <c r="B302" s="12">
        <v>181.14749900000001</v>
      </c>
      <c r="C302" s="12">
        <v>76.226326322648774</v>
      </c>
      <c r="D302" s="5">
        <f t="shared" si="7"/>
        <v>1</v>
      </c>
      <c r="Q302" s="4">
        <v>35065</v>
      </c>
      <c r="R302" s="7">
        <v>104.81329584027998</v>
      </c>
      <c r="S302" s="7">
        <v>87.442925238168016</v>
      </c>
      <c r="T302" s="8">
        <v>0.23331941625828931</v>
      </c>
      <c r="U302" s="7">
        <v>87.19909006111007</v>
      </c>
    </row>
    <row r="303" spans="1:21" x14ac:dyDescent="0.3">
      <c r="A303" s="4">
        <v>35096</v>
      </c>
      <c r="B303" s="12">
        <v>296.63207670000003</v>
      </c>
      <c r="C303" s="12">
        <v>103.97439548978578</v>
      </c>
      <c r="D303" s="5">
        <f t="shared" si="7"/>
        <v>2</v>
      </c>
      <c r="Q303" s="4">
        <v>35096</v>
      </c>
      <c r="R303" s="7">
        <v>203.18885730081803</v>
      </c>
      <c r="S303" s="7">
        <v>206.56051453129447</v>
      </c>
      <c r="T303" s="8">
        <v>0.60429925176281185</v>
      </c>
      <c r="U303" s="7">
        <v>204.90837384028444</v>
      </c>
    </row>
    <row r="304" spans="1:21" x14ac:dyDescent="0.3">
      <c r="A304" s="4">
        <v>35125</v>
      </c>
      <c r="B304" s="12">
        <v>310.987437</v>
      </c>
      <c r="C304" s="12">
        <v>34.307402852573354</v>
      </c>
      <c r="D304" s="5">
        <f t="shared" si="7"/>
        <v>3</v>
      </c>
      <c r="Q304" s="4">
        <v>35125</v>
      </c>
      <c r="R304" s="7">
        <v>73.106736688251686</v>
      </c>
      <c r="S304" s="7">
        <v>77.97662014543468</v>
      </c>
      <c r="T304" s="8">
        <v>0.14575756748686602</v>
      </c>
      <c r="U304" s="7">
        <v>78.20070779978046</v>
      </c>
    </row>
    <row r="305" spans="1:21" x14ac:dyDescent="0.3">
      <c r="A305" s="4">
        <v>35156</v>
      </c>
      <c r="B305" s="12">
        <v>95.8687106</v>
      </c>
      <c r="C305" s="12">
        <v>172.89158259518447</v>
      </c>
      <c r="D305" s="5">
        <f t="shared" si="7"/>
        <v>4</v>
      </c>
      <c r="Q305" s="4">
        <v>35156</v>
      </c>
      <c r="R305" s="7">
        <v>325.59146102913706</v>
      </c>
      <c r="S305" s="7">
        <v>357.85265189712652</v>
      </c>
      <c r="T305" s="8">
        <v>0.98826278343494178</v>
      </c>
      <c r="U305" s="7">
        <v>352.56562212505202</v>
      </c>
    </row>
    <row r="306" spans="1:21" x14ac:dyDescent="0.3">
      <c r="A306" s="4">
        <v>35186</v>
      </c>
      <c r="B306" s="12">
        <v>78.962689800000007</v>
      </c>
      <c r="C306" s="12">
        <v>63.414832967100701</v>
      </c>
      <c r="D306" s="5">
        <f t="shared" si="7"/>
        <v>5</v>
      </c>
      <c r="Q306" s="4">
        <v>35186</v>
      </c>
      <c r="R306" s="7">
        <v>107.75435191733969</v>
      </c>
      <c r="S306" s="7">
        <v>110.58099664264073</v>
      </c>
      <c r="T306" s="8">
        <v>0.59914342461870196</v>
      </c>
      <c r="U306" s="7">
        <v>109.38514237819872</v>
      </c>
    </row>
    <row r="307" spans="1:21" x14ac:dyDescent="0.3">
      <c r="A307" s="4">
        <v>35217</v>
      </c>
      <c r="B307" s="12">
        <v>11.2363342</v>
      </c>
      <c r="C307" s="12">
        <v>67.782895581331061</v>
      </c>
      <c r="D307" s="5">
        <f t="shared" si="7"/>
        <v>6</v>
      </c>
      <c r="Q307" s="4">
        <v>35217</v>
      </c>
      <c r="R307" s="7">
        <v>68.676000076874075</v>
      </c>
      <c r="S307" s="7">
        <v>58.241228028778103</v>
      </c>
      <c r="T307" s="8">
        <v>0.87254630651330078</v>
      </c>
      <c r="U307" s="7">
        <v>56.378191533144474</v>
      </c>
    </row>
    <row r="308" spans="1:21" x14ac:dyDescent="0.3">
      <c r="A308" s="4">
        <v>35247</v>
      </c>
      <c r="B308" s="12">
        <v>40.150991300000001</v>
      </c>
      <c r="C308" s="12">
        <v>0.9798652709832828</v>
      </c>
      <c r="D308" s="5">
        <f t="shared" si="7"/>
        <v>7</v>
      </c>
      <c r="Q308" s="4">
        <v>35247</v>
      </c>
      <c r="R308" s="7">
        <v>3.5458255836508554</v>
      </c>
      <c r="S308" s="7">
        <v>6.8689208636586185</v>
      </c>
      <c r="T308" s="8">
        <v>0.22278228418103291</v>
      </c>
      <c r="U308" s="7">
        <v>8.5837353614083902</v>
      </c>
    </row>
    <row r="309" spans="1:21" x14ac:dyDescent="0.3">
      <c r="A309" s="4">
        <v>35278</v>
      </c>
      <c r="B309" s="12">
        <v>57.343269999999997</v>
      </c>
      <c r="C309" s="12">
        <v>3.5581896696385265</v>
      </c>
      <c r="D309" s="5">
        <f t="shared" si="7"/>
        <v>8</v>
      </c>
      <c r="Q309" s="4">
        <v>35278</v>
      </c>
      <c r="R309" s="7">
        <v>19.352357368830077</v>
      </c>
      <c r="S309" s="7">
        <v>39.887304017431156</v>
      </c>
      <c r="T309" s="8">
        <v>0.54778224616491544</v>
      </c>
      <c r="U309" s="7">
        <v>29.739120510789007</v>
      </c>
    </row>
    <row r="310" spans="1:21" x14ac:dyDescent="0.3">
      <c r="A310" s="4">
        <v>35309</v>
      </c>
      <c r="B310" s="12">
        <v>170.21428990000001</v>
      </c>
      <c r="C310" s="12">
        <v>78.387554793152901</v>
      </c>
      <c r="D310" s="5">
        <f t="shared" si="7"/>
        <v>9</v>
      </c>
      <c r="Q310" s="4">
        <v>35309</v>
      </c>
      <c r="R310" s="7">
        <v>262.66382162828933</v>
      </c>
      <c r="S310" s="7">
        <v>173.60129563399548</v>
      </c>
      <c r="T310" s="8">
        <v>0.97706740121655389</v>
      </c>
      <c r="U310" s="7">
        <v>181.12055405030077</v>
      </c>
    </row>
    <row r="311" spans="1:21" x14ac:dyDescent="0.3">
      <c r="A311" s="4">
        <v>35339</v>
      </c>
      <c r="B311" s="12">
        <v>250.89636429999999</v>
      </c>
      <c r="C311" s="12">
        <v>28.413016887498195</v>
      </c>
      <c r="D311" s="5">
        <f t="shared" si="7"/>
        <v>10</v>
      </c>
      <c r="Q311" s="4">
        <v>35339</v>
      </c>
      <c r="R311" s="7">
        <v>69.737413423375259</v>
      </c>
      <c r="S311" s="7">
        <v>111.99233832880375</v>
      </c>
      <c r="T311" s="8">
        <v>0.29462832534758943</v>
      </c>
      <c r="U311" s="7">
        <v>113.07969528852205</v>
      </c>
    </row>
    <row r="312" spans="1:21" x14ac:dyDescent="0.3">
      <c r="A312" s="4">
        <v>35370</v>
      </c>
      <c r="B312" s="12">
        <v>306.42772009999999</v>
      </c>
      <c r="C312" s="12">
        <v>140.73756267316628</v>
      </c>
      <c r="D312" s="5">
        <f t="shared" si="7"/>
        <v>11</v>
      </c>
      <c r="Q312" s="4">
        <v>35370</v>
      </c>
      <c r="R312" s="7">
        <v>305.02405053712863</v>
      </c>
      <c r="S312" s="7">
        <v>273.14871087516781</v>
      </c>
      <c r="T312" s="8">
        <v>0.81341872467065957</v>
      </c>
      <c r="U312" s="7">
        <v>273.05384615060586</v>
      </c>
    </row>
    <row r="313" spans="1:21" x14ac:dyDescent="0.3">
      <c r="A313" s="4">
        <v>35400</v>
      </c>
      <c r="B313" s="12">
        <v>262.97060329999999</v>
      </c>
      <c r="C313" s="12">
        <v>78.158076619729385</v>
      </c>
      <c r="D313" s="5">
        <f t="shared" si="7"/>
        <v>12</v>
      </c>
      <c r="Q313" s="4">
        <v>35400</v>
      </c>
      <c r="R313" s="7">
        <v>164.89281942548681</v>
      </c>
      <c r="S313" s="7">
        <v>177.0239307254765</v>
      </c>
      <c r="T313" s="8">
        <v>0.30842075015627818</v>
      </c>
      <c r="U313" s="7">
        <v>174.91406752116194</v>
      </c>
    </row>
    <row r="314" spans="1:21" x14ac:dyDescent="0.3">
      <c r="A314" s="4">
        <v>35431</v>
      </c>
      <c r="B314" s="12">
        <v>154.41353050000001</v>
      </c>
      <c r="C314" s="12">
        <v>56.292561575537668</v>
      </c>
      <c r="D314" s="5">
        <f t="shared" si="7"/>
        <v>1</v>
      </c>
      <c r="Q314" s="4">
        <v>35431</v>
      </c>
      <c r="R314" s="7">
        <v>77.403820893187998</v>
      </c>
      <c r="S314" s="7">
        <v>58.627211573849557</v>
      </c>
      <c r="T314" s="8">
        <v>0.10183449190647535</v>
      </c>
      <c r="U314" s="7">
        <v>56.944169913620378</v>
      </c>
    </row>
    <row r="315" spans="1:21" x14ac:dyDescent="0.3">
      <c r="A315" s="4">
        <v>35462</v>
      </c>
      <c r="B315" s="12">
        <v>75.799286199999997</v>
      </c>
      <c r="C315" s="12">
        <v>151.48794064298269</v>
      </c>
      <c r="D315" s="5">
        <f t="shared" si="7"/>
        <v>2</v>
      </c>
      <c r="Q315" s="4">
        <v>35462</v>
      </c>
      <c r="R315" s="7">
        <v>296.04078397479725</v>
      </c>
      <c r="S315" s="7">
        <v>276.465578406144</v>
      </c>
      <c r="T315" s="8">
        <v>0.83812690742193641</v>
      </c>
      <c r="U315" s="7">
        <v>275.77926141370796</v>
      </c>
    </row>
    <row r="316" spans="1:21" x14ac:dyDescent="0.3">
      <c r="A316" s="4">
        <v>35490</v>
      </c>
      <c r="B316" s="12">
        <v>118.5327437</v>
      </c>
      <c r="C316" s="12">
        <v>25.024378558737226</v>
      </c>
      <c r="D316" s="5">
        <f t="shared" si="7"/>
        <v>3</v>
      </c>
      <c r="Q316" s="4">
        <v>35490</v>
      </c>
      <c r="R316" s="7">
        <v>53.325244756716081</v>
      </c>
      <c r="S316" s="7">
        <v>58.268085209812448</v>
      </c>
      <c r="T316" s="8">
        <v>6.5071659536158677E-2</v>
      </c>
      <c r="U316" s="7">
        <v>58.788042869081949</v>
      </c>
    </row>
    <row r="317" spans="1:21" x14ac:dyDescent="0.3">
      <c r="A317" s="4">
        <v>35521</v>
      </c>
      <c r="B317" s="12">
        <v>186.28224929999999</v>
      </c>
      <c r="C317" s="12">
        <v>50.639996712561633</v>
      </c>
      <c r="D317" s="5">
        <f t="shared" si="7"/>
        <v>4</v>
      </c>
      <c r="Q317" s="4">
        <v>35521</v>
      </c>
      <c r="R317" s="7">
        <v>95.365837183405347</v>
      </c>
      <c r="S317" s="7">
        <v>89.218513120019551</v>
      </c>
      <c r="T317" s="8">
        <v>0.25845325407441999</v>
      </c>
      <c r="U317" s="7">
        <v>89.599869204445298</v>
      </c>
    </row>
    <row r="318" spans="1:21" x14ac:dyDescent="0.3">
      <c r="A318" s="4">
        <v>35551</v>
      </c>
      <c r="B318" s="12">
        <v>71.746521400000006</v>
      </c>
      <c r="C318" s="12">
        <v>99.789838877040822</v>
      </c>
      <c r="D318" s="5">
        <f t="shared" si="7"/>
        <v>5</v>
      </c>
      <c r="Q318" s="4">
        <v>35551</v>
      </c>
      <c r="R318" s="7">
        <v>169.5626860944312</v>
      </c>
      <c r="S318" s="7">
        <v>162.32828568773363</v>
      </c>
      <c r="T318" s="8">
        <v>0.83721349593815897</v>
      </c>
      <c r="U318" s="7">
        <v>162.15284524774091</v>
      </c>
    </row>
    <row r="319" spans="1:21" x14ac:dyDescent="0.3">
      <c r="A319" s="4">
        <v>35582</v>
      </c>
      <c r="B319" s="12">
        <v>21.484575899999999</v>
      </c>
      <c r="C319" s="12">
        <v>12.624771217815573</v>
      </c>
      <c r="D319" s="5">
        <f t="shared" si="7"/>
        <v>6</v>
      </c>
      <c r="Q319" s="4">
        <v>35582</v>
      </c>
      <c r="R319" s="7">
        <v>12.791114656423979</v>
      </c>
      <c r="S319" s="7">
        <v>20.452301855387457</v>
      </c>
      <c r="T319" s="8">
        <v>0.44484043691940056</v>
      </c>
      <c r="U319" s="7">
        <v>21.918602298562625</v>
      </c>
    </row>
    <row r="320" spans="1:21" x14ac:dyDescent="0.3">
      <c r="A320" s="4">
        <v>35612</v>
      </c>
      <c r="B320" s="12">
        <v>4.7826126999999996</v>
      </c>
      <c r="C320" s="12">
        <v>0.30199063126019515</v>
      </c>
      <c r="D320" s="5">
        <f t="shared" si="7"/>
        <v>7</v>
      </c>
      <c r="Q320" s="4">
        <v>35612</v>
      </c>
      <c r="R320" s="7">
        <v>1.0928095301007361</v>
      </c>
      <c r="S320" s="7">
        <v>2.9281281403468697</v>
      </c>
      <c r="T320" s="8">
        <v>0.10627221374223833</v>
      </c>
      <c r="U320" s="7">
        <v>4.4979151782296949</v>
      </c>
    </row>
    <row r="321" spans="1:21" x14ac:dyDescent="0.3">
      <c r="A321" s="4">
        <v>35643</v>
      </c>
      <c r="B321" s="12">
        <v>31.767519499999999</v>
      </c>
      <c r="C321" s="12">
        <v>6.1190677319245923</v>
      </c>
      <c r="D321" s="5">
        <f t="shared" si="7"/>
        <v>8</v>
      </c>
      <c r="Q321" s="4">
        <v>35643</v>
      </c>
      <c r="R321" s="7">
        <v>33.280515235802838</v>
      </c>
      <c r="S321" s="7">
        <v>46.53991929476021</v>
      </c>
      <c r="T321" s="8">
        <v>0.68182390481262611</v>
      </c>
      <c r="U321" s="7">
        <v>38.496965005704375</v>
      </c>
    </row>
    <row r="322" spans="1:21" x14ac:dyDescent="0.3">
      <c r="A322" s="4">
        <v>35674</v>
      </c>
      <c r="B322" s="12">
        <v>63.881723899999997</v>
      </c>
      <c r="C322" s="12">
        <v>65.568094491027196</v>
      </c>
      <c r="D322" s="5">
        <f t="shared" si="7"/>
        <v>9</v>
      </c>
      <c r="Q322" s="4">
        <v>35674</v>
      </c>
      <c r="R322" s="7">
        <v>219.70791564227167</v>
      </c>
      <c r="S322" s="7">
        <v>155.43170217634102</v>
      </c>
      <c r="T322" s="8">
        <v>0.96032560563061597</v>
      </c>
      <c r="U322" s="7">
        <v>158.88750833259522</v>
      </c>
    </row>
    <row r="323" spans="1:21" x14ac:dyDescent="0.3">
      <c r="A323" s="4">
        <v>35704</v>
      </c>
      <c r="B323" s="12">
        <v>332.53692849999999</v>
      </c>
      <c r="C323" s="12">
        <v>0.14298591172519082</v>
      </c>
      <c r="D323" s="5">
        <f t="shared" ref="D323:D386" si="8">MONTH(A323)</f>
        <v>10</v>
      </c>
      <c r="Q323" s="4">
        <v>35704</v>
      </c>
      <c r="R323" s="7">
        <v>0.35094716197086923</v>
      </c>
      <c r="S323" s="7">
        <v>5.3181814788321828</v>
      </c>
      <c r="T323" s="8">
        <v>6.076399745706143E-4</v>
      </c>
      <c r="U323" s="7">
        <v>12.624972690260318</v>
      </c>
    </row>
    <row r="324" spans="1:21" x14ac:dyDescent="0.3">
      <c r="A324" s="4">
        <v>35735</v>
      </c>
      <c r="B324" s="12">
        <v>253.2747244</v>
      </c>
      <c r="C324" s="12">
        <v>76.981812191661433</v>
      </c>
      <c r="D324" s="5">
        <f t="shared" si="8"/>
        <v>11</v>
      </c>
      <c r="Q324" s="4">
        <v>35735</v>
      </c>
      <c r="R324" s="7">
        <v>166.84461295467742</v>
      </c>
      <c r="S324" s="7">
        <v>190.16873835227801</v>
      </c>
      <c r="T324" s="8">
        <v>0.44314173392243328</v>
      </c>
      <c r="U324" s="7">
        <v>186.07995039973139</v>
      </c>
    </row>
    <row r="325" spans="1:21" x14ac:dyDescent="0.3">
      <c r="A325" s="4">
        <v>35765</v>
      </c>
      <c r="B325" s="12">
        <v>287.70162800000003</v>
      </c>
      <c r="C325" s="12">
        <v>104.51660582330078</v>
      </c>
      <c r="D325" s="5">
        <f t="shared" si="8"/>
        <v>12</v>
      </c>
      <c r="Q325" s="4">
        <v>35765</v>
      </c>
      <c r="R325" s="7">
        <v>220.50232754366351</v>
      </c>
      <c r="S325" s="7">
        <v>226.03417294498053</v>
      </c>
      <c r="T325" s="8">
        <v>0.52356888924820666</v>
      </c>
      <c r="U325" s="7">
        <v>224.14321027004641</v>
      </c>
    </row>
    <row r="326" spans="1:21" x14ac:dyDescent="0.3">
      <c r="A326" s="4">
        <v>35796</v>
      </c>
      <c r="B326" s="12">
        <v>93.674177</v>
      </c>
      <c r="C326" s="12">
        <v>100.84990403847782</v>
      </c>
      <c r="D326" s="5">
        <f t="shared" si="8"/>
        <v>1</v>
      </c>
      <c r="Q326" s="4">
        <v>35796</v>
      </c>
      <c r="R326" s="7">
        <v>138.67139264598254</v>
      </c>
      <c r="S326" s="7">
        <v>126.4887823325621</v>
      </c>
      <c r="T326" s="8">
        <v>0.4288313933780204</v>
      </c>
      <c r="U326" s="7">
        <v>127.76050953646927</v>
      </c>
    </row>
    <row r="327" spans="1:21" x14ac:dyDescent="0.3">
      <c r="A327" s="4">
        <v>35827</v>
      </c>
      <c r="B327" s="12">
        <v>219.35314030000001</v>
      </c>
      <c r="C327" s="12">
        <v>58.730170782655499</v>
      </c>
      <c r="D327" s="5">
        <f t="shared" si="8"/>
        <v>2</v>
      </c>
      <c r="Q327" s="4">
        <v>35827</v>
      </c>
      <c r="R327" s="7">
        <v>114.77168233771521</v>
      </c>
      <c r="S327" s="7">
        <v>132.71504872272209</v>
      </c>
      <c r="T327" s="8">
        <v>0.25044292947402996</v>
      </c>
      <c r="U327" s="7">
        <v>132.56963563969617</v>
      </c>
    </row>
    <row r="328" spans="1:21" x14ac:dyDescent="0.3">
      <c r="A328" s="4">
        <v>35855</v>
      </c>
      <c r="B328" s="12">
        <v>120.72031680000001</v>
      </c>
      <c r="C328" s="12">
        <v>63.559501577401598</v>
      </c>
      <c r="D328" s="5">
        <f t="shared" si="8"/>
        <v>3</v>
      </c>
      <c r="Q328" s="4">
        <v>35855</v>
      </c>
      <c r="R328" s="7">
        <v>135.44096490845499</v>
      </c>
      <c r="S328" s="7">
        <v>137.80161023605908</v>
      </c>
      <c r="T328" s="8">
        <v>0.49040102752969733</v>
      </c>
      <c r="U328" s="7">
        <v>137.42240835615294</v>
      </c>
    </row>
    <row r="329" spans="1:21" x14ac:dyDescent="0.3">
      <c r="A329" s="4">
        <v>35886</v>
      </c>
      <c r="B329" s="12">
        <v>47.585153300000002</v>
      </c>
      <c r="C329" s="12">
        <v>39.850243076216394</v>
      </c>
      <c r="D329" s="5">
        <f t="shared" si="8"/>
        <v>4</v>
      </c>
      <c r="Q329" s="4">
        <v>35886</v>
      </c>
      <c r="R329" s="7">
        <v>75.046446280334635</v>
      </c>
      <c r="S329" s="7">
        <v>68.035993555949929</v>
      </c>
      <c r="T329" s="8">
        <v>0.13753799927756064</v>
      </c>
      <c r="U329" s="7">
        <v>68.033824098472181</v>
      </c>
    </row>
    <row r="330" spans="1:21" x14ac:dyDescent="0.3">
      <c r="A330" s="4">
        <v>35916</v>
      </c>
      <c r="B330" s="12">
        <v>199.48006409999999</v>
      </c>
      <c r="C330" s="12">
        <v>73.409799876390068</v>
      </c>
      <c r="D330" s="5">
        <f t="shared" si="8"/>
        <v>5</v>
      </c>
      <c r="Q330" s="4">
        <v>35916</v>
      </c>
      <c r="R330" s="7">
        <v>124.73777884372574</v>
      </c>
      <c r="S330" s="7">
        <v>125.16998377581696</v>
      </c>
      <c r="T330" s="8">
        <v>0.68261784200045983</v>
      </c>
      <c r="U330" s="7">
        <v>124.09673803252005</v>
      </c>
    </row>
    <row r="331" spans="1:21" x14ac:dyDescent="0.3">
      <c r="A331" s="4">
        <v>35947</v>
      </c>
      <c r="B331" s="12">
        <v>28.547926499999999</v>
      </c>
      <c r="C331" s="12">
        <v>35.940504079917353</v>
      </c>
      <c r="D331" s="5">
        <f t="shared" si="8"/>
        <v>6</v>
      </c>
      <c r="Q331" s="4">
        <v>35947</v>
      </c>
      <c r="R331" s="7">
        <v>36.414054604582411</v>
      </c>
      <c r="S331" s="7">
        <v>39.233873498621747</v>
      </c>
      <c r="T331" s="8">
        <v>0.71633355386919917</v>
      </c>
      <c r="U331" s="7">
        <v>38.47869598845493</v>
      </c>
    </row>
    <row r="332" spans="1:21" x14ac:dyDescent="0.3">
      <c r="A332" s="4">
        <v>35977</v>
      </c>
      <c r="B332" s="12">
        <v>3.2116576000000001</v>
      </c>
      <c r="C332" s="12">
        <v>1.8649423411261512</v>
      </c>
      <c r="D332" s="5">
        <f t="shared" si="8"/>
        <v>7</v>
      </c>
      <c r="Q332" s="4">
        <v>35977</v>
      </c>
      <c r="R332" s="7">
        <v>6.7486423501498365</v>
      </c>
      <c r="S332" s="7">
        <v>10.948641582500841</v>
      </c>
      <c r="T332" s="8">
        <v>0.32810407612614639</v>
      </c>
      <c r="U332" s="7">
        <v>12.452636694654135</v>
      </c>
    </row>
    <row r="333" spans="1:21" x14ac:dyDescent="0.3">
      <c r="A333" s="4">
        <v>36008</v>
      </c>
      <c r="B333" s="12">
        <v>14.8774441</v>
      </c>
      <c r="C333" s="12">
        <v>15.224114288866986</v>
      </c>
      <c r="D333" s="5">
        <f t="shared" si="8"/>
        <v>8</v>
      </c>
      <c r="Q333" s="4">
        <v>36008</v>
      </c>
      <c r="R333" s="7">
        <v>82.801235374278619</v>
      </c>
      <c r="S333" s="7">
        <v>60.318452650686773</v>
      </c>
      <c r="T333" s="8">
        <v>0.89074109573073856</v>
      </c>
      <c r="U333" s="7">
        <v>62.647983770396799</v>
      </c>
    </row>
    <row r="334" spans="1:21" x14ac:dyDescent="0.3">
      <c r="A334" s="4">
        <v>36039</v>
      </c>
      <c r="B334" s="12">
        <v>73.299382199999997</v>
      </c>
      <c r="C334" s="12">
        <v>17.842189263319582</v>
      </c>
      <c r="D334" s="5">
        <f t="shared" si="8"/>
        <v>9</v>
      </c>
      <c r="Q334" s="4">
        <v>36039</v>
      </c>
      <c r="R334" s="7">
        <v>59.786245794825021</v>
      </c>
      <c r="S334" s="7">
        <v>69.438708585435776</v>
      </c>
      <c r="T334" s="8">
        <v>0.66025725162524007</v>
      </c>
      <c r="U334" s="7">
        <v>66.480143877037548</v>
      </c>
    </row>
    <row r="335" spans="1:21" x14ac:dyDescent="0.3">
      <c r="A335" s="4">
        <v>36069</v>
      </c>
      <c r="B335" s="12">
        <v>46.367444399999997</v>
      </c>
      <c r="C335" s="12">
        <v>111.60278557799768</v>
      </c>
      <c r="D335" s="5">
        <f t="shared" si="8"/>
        <v>10</v>
      </c>
      <c r="Q335" s="4">
        <v>36069</v>
      </c>
      <c r="R335" s="7">
        <v>273.91985961468311</v>
      </c>
      <c r="S335" s="7">
        <v>246.22500615419841</v>
      </c>
      <c r="T335" s="8">
        <v>0.80471816163020327</v>
      </c>
      <c r="U335" s="7">
        <v>241.27758338269808</v>
      </c>
    </row>
    <row r="336" spans="1:21" x14ac:dyDescent="0.3">
      <c r="A336" s="4">
        <v>36100</v>
      </c>
      <c r="B336" s="12">
        <v>393.89061720000001</v>
      </c>
      <c r="C336" s="12">
        <v>62.130325532052638</v>
      </c>
      <c r="D336" s="5">
        <f t="shared" si="8"/>
        <v>11</v>
      </c>
      <c r="Q336" s="4">
        <v>36100</v>
      </c>
      <c r="R336" s="7">
        <v>134.65661330932241</v>
      </c>
      <c r="S336" s="7">
        <v>167.2136648735885</v>
      </c>
      <c r="T336" s="8">
        <v>0.32144076976705371</v>
      </c>
      <c r="U336" s="7">
        <v>163.45561377365613</v>
      </c>
    </row>
    <row r="337" spans="1:21" x14ac:dyDescent="0.3">
      <c r="A337" s="4">
        <v>36130</v>
      </c>
      <c r="B337" s="12">
        <v>278.4791869</v>
      </c>
      <c r="C337" s="12">
        <v>199.80336015578371</v>
      </c>
      <c r="D337" s="5">
        <f t="shared" si="8"/>
        <v>12</v>
      </c>
      <c r="Q337" s="4">
        <v>36130</v>
      </c>
      <c r="R337" s="7">
        <v>421.53211557481677</v>
      </c>
      <c r="S337" s="7">
        <v>389.80054033306891</v>
      </c>
      <c r="T337" s="8">
        <v>0.93607288564665514</v>
      </c>
      <c r="U337" s="7">
        <v>394.34651427760764</v>
      </c>
    </row>
    <row r="338" spans="1:21" x14ac:dyDescent="0.3">
      <c r="A338" s="4">
        <v>36161</v>
      </c>
      <c r="B338" s="12">
        <v>92.646544899999995</v>
      </c>
      <c r="C338" s="12">
        <v>122.57510115159681</v>
      </c>
      <c r="D338" s="5">
        <f t="shared" si="8"/>
        <v>1</v>
      </c>
      <c r="Q338" s="4">
        <v>36161</v>
      </c>
      <c r="R338" s="7">
        <v>168.54413638240942</v>
      </c>
      <c r="S338" s="7">
        <v>163.60244445813825</v>
      </c>
      <c r="T338" s="8">
        <v>0.59225230888925895</v>
      </c>
      <c r="U338" s="7">
        <v>165.64559695207285</v>
      </c>
    </row>
    <row r="339" spans="1:21" x14ac:dyDescent="0.3">
      <c r="A339" s="4">
        <v>36192</v>
      </c>
      <c r="B339" s="12">
        <v>245.68098119999999</v>
      </c>
      <c r="C339" s="12">
        <v>157.244145590812</v>
      </c>
      <c r="D339" s="5">
        <f t="shared" si="8"/>
        <v>2</v>
      </c>
      <c r="Q339" s="4">
        <v>36192</v>
      </c>
      <c r="R339" s="7">
        <v>307.28967559113414</v>
      </c>
      <c r="S339" s="7">
        <v>284.56746254880278</v>
      </c>
      <c r="T339" s="8">
        <v>0.8562634478492952</v>
      </c>
      <c r="U339" s="7">
        <v>284.14611253753532</v>
      </c>
    </row>
    <row r="340" spans="1:21" x14ac:dyDescent="0.3">
      <c r="A340" s="4">
        <v>36220</v>
      </c>
      <c r="B340" s="12">
        <v>237.6622988</v>
      </c>
      <c r="C340" s="12">
        <v>29.03828452108419</v>
      </c>
      <c r="D340" s="5">
        <f t="shared" si="8"/>
        <v>3</v>
      </c>
      <c r="Q340" s="4">
        <v>36220</v>
      </c>
      <c r="R340" s="7">
        <v>61.878604728081335</v>
      </c>
      <c r="S340" s="7">
        <v>66.848536945182445</v>
      </c>
      <c r="T340" s="8">
        <v>9.6403777963434856E-2</v>
      </c>
      <c r="U340" s="7">
        <v>67.237160535994477</v>
      </c>
    </row>
    <row r="341" spans="1:21" x14ac:dyDescent="0.3">
      <c r="A341" s="4">
        <v>36251</v>
      </c>
      <c r="B341" s="12">
        <v>132.45578080000001</v>
      </c>
      <c r="C341" s="12">
        <v>93.240281450562307</v>
      </c>
      <c r="D341" s="5">
        <f t="shared" si="8"/>
        <v>4</v>
      </c>
      <c r="Q341" s="4">
        <v>36251</v>
      </c>
      <c r="R341" s="7">
        <v>175.5911942534448</v>
      </c>
      <c r="S341" s="7">
        <v>177.97076171161294</v>
      </c>
      <c r="T341" s="8">
        <v>0.74098133176146486</v>
      </c>
      <c r="U341" s="7">
        <v>178.55431569729544</v>
      </c>
    </row>
    <row r="342" spans="1:21" x14ac:dyDescent="0.3">
      <c r="A342" s="4">
        <v>36281</v>
      </c>
      <c r="B342" s="12">
        <v>66.5582864</v>
      </c>
      <c r="C342" s="12">
        <v>25.597554969135672</v>
      </c>
      <c r="D342" s="5">
        <f t="shared" si="8"/>
        <v>5</v>
      </c>
      <c r="Q342" s="4">
        <v>36281</v>
      </c>
      <c r="R342" s="7">
        <v>43.495312016333116</v>
      </c>
      <c r="S342" s="7">
        <v>51.295886609947573</v>
      </c>
      <c r="T342" s="8">
        <v>0.17719843106416955</v>
      </c>
      <c r="U342" s="7">
        <v>50.951507541530027</v>
      </c>
    </row>
    <row r="343" spans="1:21" x14ac:dyDescent="0.3">
      <c r="A343" s="4">
        <v>36312</v>
      </c>
      <c r="B343" s="12">
        <v>8.6148074000000001</v>
      </c>
      <c r="C343" s="12">
        <v>59.813863481395011</v>
      </c>
      <c r="D343" s="5">
        <f t="shared" si="8"/>
        <v>6</v>
      </c>
      <c r="Q343" s="4">
        <v>36312</v>
      </c>
      <c r="R343" s="7">
        <v>60.601968355240842</v>
      </c>
      <c r="S343" s="7">
        <v>53.877557912593751</v>
      </c>
      <c r="T343" s="8">
        <v>0.84526403112771265</v>
      </c>
      <c r="U343" s="7">
        <v>52.14421744321691</v>
      </c>
    </row>
    <row r="344" spans="1:21" x14ac:dyDescent="0.3">
      <c r="A344" s="4">
        <v>36342</v>
      </c>
      <c r="B344" s="12">
        <v>32.132247599999999</v>
      </c>
      <c r="C344" s="12">
        <v>5.2131758071482182</v>
      </c>
      <c r="D344" s="5">
        <f t="shared" si="8"/>
        <v>7</v>
      </c>
      <c r="Q344" s="4">
        <v>36342</v>
      </c>
      <c r="R344" s="7">
        <v>18.864850808016051</v>
      </c>
      <c r="S344" s="7">
        <v>23.054906045697713</v>
      </c>
      <c r="T344" s="8">
        <v>0.57239909268749012</v>
      </c>
      <c r="U344" s="7">
        <v>23.475442794224552</v>
      </c>
    </row>
    <row r="345" spans="1:21" x14ac:dyDescent="0.3">
      <c r="A345" s="4">
        <v>36373</v>
      </c>
      <c r="B345" s="12">
        <v>43.015059200000003</v>
      </c>
      <c r="C345" s="12">
        <v>19.340802002989225</v>
      </c>
      <c r="D345" s="5">
        <f t="shared" si="8"/>
        <v>8</v>
      </c>
      <c r="Q345" s="4">
        <v>36373</v>
      </c>
      <c r="R345" s="7">
        <v>105.19116374132352</v>
      </c>
      <c r="S345" s="7">
        <v>64.568906921128814</v>
      </c>
      <c r="T345" s="8">
        <v>0.92995423988898329</v>
      </c>
      <c r="U345" s="7">
        <v>72.110629194515511</v>
      </c>
    </row>
    <row r="346" spans="1:21" x14ac:dyDescent="0.3">
      <c r="A346" s="4">
        <v>36404</v>
      </c>
      <c r="B346" s="12">
        <v>75.940491399999999</v>
      </c>
      <c r="C346" s="12">
        <v>3.5079897279501764</v>
      </c>
      <c r="D346" s="5">
        <f t="shared" si="8"/>
        <v>9</v>
      </c>
      <c r="Q346" s="4">
        <v>36404</v>
      </c>
      <c r="R346" s="7">
        <v>11.754697421135297</v>
      </c>
      <c r="S346" s="7">
        <v>25.367738785053149</v>
      </c>
      <c r="T346" s="8">
        <v>0.26297256552893461</v>
      </c>
      <c r="U346" s="7">
        <v>26.465178586757364</v>
      </c>
    </row>
    <row r="347" spans="1:21" x14ac:dyDescent="0.3">
      <c r="A347" s="4">
        <v>36434</v>
      </c>
      <c r="B347" s="12">
        <v>143.45120650000001</v>
      </c>
      <c r="C347" s="12">
        <v>26.635342996451076</v>
      </c>
      <c r="D347" s="5">
        <f t="shared" si="8"/>
        <v>10</v>
      </c>
      <c r="Q347" s="4">
        <v>36434</v>
      </c>
      <c r="R347" s="7">
        <v>65.374259043720471</v>
      </c>
      <c r="S347" s="7">
        <v>107.90227293640768</v>
      </c>
      <c r="T347" s="8">
        <v>0.27669893129235368</v>
      </c>
      <c r="U347" s="7">
        <v>109.45623479608106</v>
      </c>
    </row>
    <row r="348" spans="1:21" x14ac:dyDescent="0.3">
      <c r="A348" s="4">
        <v>36465</v>
      </c>
      <c r="B348" s="12">
        <v>309.71860800000002</v>
      </c>
      <c r="C348" s="12">
        <v>35.369315359275895</v>
      </c>
      <c r="D348" s="5">
        <f t="shared" si="8"/>
        <v>11</v>
      </c>
      <c r="Q348" s="4">
        <v>36465</v>
      </c>
      <c r="R348" s="7">
        <v>76.656804556616052</v>
      </c>
      <c r="S348" s="7">
        <v>119.23995166695768</v>
      </c>
      <c r="T348" s="8">
        <v>0.11233043621090116</v>
      </c>
      <c r="U348" s="7">
        <v>117.98811961562537</v>
      </c>
    </row>
    <row r="349" spans="1:21" x14ac:dyDescent="0.3">
      <c r="A349" s="4">
        <v>36495</v>
      </c>
      <c r="B349" s="12">
        <v>333.00541329999999</v>
      </c>
      <c r="C349" s="12">
        <v>29.282665534992717</v>
      </c>
      <c r="D349" s="5">
        <f t="shared" si="8"/>
        <v>12</v>
      </c>
      <c r="Q349" s="4">
        <v>36495</v>
      </c>
      <c r="R349" s="7">
        <v>61.778660494053476</v>
      </c>
      <c r="S349" s="7">
        <v>77.529360351058045</v>
      </c>
      <c r="T349" s="8">
        <v>1.9394506722860735E-2</v>
      </c>
      <c r="U349" s="7">
        <v>77.413435421001296</v>
      </c>
    </row>
    <row r="350" spans="1:21" x14ac:dyDescent="0.3">
      <c r="A350" s="4">
        <v>36526</v>
      </c>
      <c r="B350" s="12">
        <v>131.2796367</v>
      </c>
      <c r="C350" s="12">
        <v>78.71783802984281</v>
      </c>
      <c r="D350" s="5">
        <f t="shared" si="8"/>
        <v>1</v>
      </c>
      <c r="Q350" s="4">
        <v>36526</v>
      </c>
      <c r="R350" s="7">
        <v>108.23919298440165</v>
      </c>
      <c r="S350" s="7">
        <v>91.231731187279891</v>
      </c>
      <c r="T350" s="8">
        <v>0.25227512845883487</v>
      </c>
      <c r="U350" s="7">
        <v>91.162552228432318</v>
      </c>
    </row>
    <row r="351" spans="1:21" x14ac:dyDescent="0.3">
      <c r="A351" s="4">
        <v>36557</v>
      </c>
      <c r="B351" s="12">
        <v>250.69021900000001</v>
      </c>
      <c r="C351" s="12">
        <v>64.529685443267326</v>
      </c>
      <c r="D351" s="5">
        <f t="shared" si="8"/>
        <v>2</v>
      </c>
      <c r="Q351" s="4">
        <v>36557</v>
      </c>
      <c r="R351" s="7">
        <v>126.10521066685871</v>
      </c>
      <c r="S351" s="7">
        <v>142.75653723292064</v>
      </c>
      <c r="T351" s="8">
        <v>0.29809242279846893</v>
      </c>
      <c r="U351" s="7">
        <v>142.26351747157202</v>
      </c>
    </row>
    <row r="352" spans="1:21" x14ac:dyDescent="0.3">
      <c r="A352" s="4">
        <v>36586</v>
      </c>
      <c r="B352" s="12">
        <v>118.38131490000001</v>
      </c>
      <c r="C352" s="12">
        <v>169.91860787384223</v>
      </c>
      <c r="D352" s="5">
        <f t="shared" si="8"/>
        <v>3</v>
      </c>
      <c r="Q352" s="4">
        <v>36586</v>
      </c>
      <c r="R352" s="7">
        <v>362.08496975560189</v>
      </c>
      <c r="S352" s="7">
        <v>341.6788714177589</v>
      </c>
      <c r="T352" s="8">
        <v>0.98341079285784749</v>
      </c>
      <c r="U352" s="7">
        <v>343.82218658203612</v>
      </c>
    </row>
    <row r="353" spans="1:21" x14ac:dyDescent="0.3">
      <c r="A353" s="4">
        <v>36617</v>
      </c>
      <c r="B353" s="12">
        <v>107.1615019</v>
      </c>
      <c r="C353" s="12">
        <v>60.969659301917972</v>
      </c>
      <c r="D353" s="5">
        <f t="shared" si="8"/>
        <v>4</v>
      </c>
      <c r="Q353" s="4">
        <v>36617</v>
      </c>
      <c r="R353" s="7">
        <v>114.81877921749734</v>
      </c>
      <c r="S353" s="7">
        <v>110.06591505266044</v>
      </c>
      <c r="T353" s="8">
        <v>0.38922588585695694</v>
      </c>
      <c r="U353" s="7">
        <v>110.70451572637138</v>
      </c>
    </row>
    <row r="354" spans="1:21" x14ac:dyDescent="0.3">
      <c r="A354" s="4">
        <v>36647</v>
      </c>
      <c r="B354" s="12">
        <v>69.903994800000007</v>
      </c>
      <c r="C354" s="12">
        <v>60.510834970045721</v>
      </c>
      <c r="D354" s="5">
        <f t="shared" si="8"/>
        <v>5</v>
      </c>
      <c r="Q354" s="4">
        <v>36647</v>
      </c>
      <c r="R354" s="7">
        <v>102.81988457743118</v>
      </c>
      <c r="S354" s="7">
        <v>106.27800425001277</v>
      </c>
      <c r="T354" s="8">
        <v>0.57209567220339752</v>
      </c>
      <c r="U354" s="7">
        <v>105.07135213280523</v>
      </c>
    </row>
    <row r="355" spans="1:21" x14ac:dyDescent="0.3">
      <c r="A355" s="4">
        <v>36678</v>
      </c>
      <c r="B355" s="12">
        <v>32.782235300000004</v>
      </c>
      <c r="C355" s="12">
        <v>4.8322390139219404</v>
      </c>
      <c r="D355" s="5">
        <f t="shared" si="8"/>
        <v>6</v>
      </c>
      <c r="Q355" s="4">
        <v>36678</v>
      </c>
      <c r="R355" s="7">
        <v>4.8959083858167087</v>
      </c>
      <c r="S355" s="7">
        <v>11.247084828741285</v>
      </c>
      <c r="T355" s="8">
        <v>0.26311140611655592</v>
      </c>
      <c r="U355" s="7">
        <v>13.827466584911164</v>
      </c>
    </row>
    <row r="356" spans="1:21" x14ac:dyDescent="0.3">
      <c r="A356" s="4">
        <v>36708</v>
      </c>
      <c r="B356" s="12">
        <v>12.7690757</v>
      </c>
      <c r="C356" s="12">
        <v>18.460530000447758</v>
      </c>
      <c r="D356" s="5">
        <f t="shared" si="8"/>
        <v>7</v>
      </c>
      <c r="Q356" s="4">
        <v>36708</v>
      </c>
      <c r="R356" s="7">
        <v>66.802877397272866</v>
      </c>
      <c r="S356" s="7">
        <v>57.619146027178367</v>
      </c>
      <c r="T356" s="8">
        <v>0.90149821927879925</v>
      </c>
      <c r="U356" s="7">
        <v>56.101607063582229</v>
      </c>
    </row>
    <row r="357" spans="1:21" x14ac:dyDescent="0.3">
      <c r="A357" s="4">
        <v>36739</v>
      </c>
      <c r="B357" s="12">
        <v>9.9442385000000009</v>
      </c>
      <c r="C357" s="12">
        <v>1.9902093519704074</v>
      </c>
      <c r="D357" s="5">
        <f t="shared" si="8"/>
        <v>8</v>
      </c>
      <c r="Q357" s="4">
        <v>36739</v>
      </c>
      <c r="R357" s="7">
        <v>10.824392793549924</v>
      </c>
      <c r="S357" s="7">
        <v>33.809813732280844</v>
      </c>
      <c r="T357" s="8">
        <v>0.42025681087055705</v>
      </c>
      <c r="U357" s="7">
        <v>23.029911983554207</v>
      </c>
    </row>
    <row r="358" spans="1:21" x14ac:dyDescent="0.3">
      <c r="A358" s="4">
        <v>36770</v>
      </c>
      <c r="B358" s="12">
        <v>64.800785300000001</v>
      </c>
      <c r="C358" s="12">
        <v>1.6101423007057758</v>
      </c>
      <c r="D358" s="5">
        <f t="shared" si="8"/>
        <v>9</v>
      </c>
      <c r="Q358" s="4">
        <v>36770</v>
      </c>
      <c r="R358" s="7">
        <v>5.395322397601916</v>
      </c>
      <c r="S358" s="7">
        <v>15.664218132349024</v>
      </c>
      <c r="T358" s="8">
        <v>0.15763300403028899</v>
      </c>
      <c r="U358" s="7">
        <v>17.809392232426113</v>
      </c>
    </row>
    <row r="359" spans="1:21" x14ac:dyDescent="0.3">
      <c r="A359" s="4">
        <v>36800</v>
      </c>
      <c r="B359" s="12">
        <v>189.7349432</v>
      </c>
      <c r="C359" s="12">
        <v>87.647916516289214</v>
      </c>
      <c r="D359" s="5">
        <f t="shared" si="8"/>
        <v>10</v>
      </c>
      <c r="Q359" s="4">
        <v>36800</v>
      </c>
      <c r="R359" s="7">
        <v>215.12460341666102</v>
      </c>
      <c r="S359" s="7">
        <v>214.24296254006154</v>
      </c>
      <c r="T359" s="8">
        <v>0.71362154039121695</v>
      </c>
      <c r="U359" s="7">
        <v>208.83387537913899</v>
      </c>
    </row>
    <row r="360" spans="1:21" x14ac:dyDescent="0.3">
      <c r="A360" s="4">
        <v>36831</v>
      </c>
      <c r="B360" s="12">
        <v>154.8311099</v>
      </c>
      <c r="C360" s="12">
        <v>30.302149214548944</v>
      </c>
      <c r="D360" s="5">
        <f t="shared" si="8"/>
        <v>11</v>
      </c>
      <c r="Q360" s="4">
        <v>36831</v>
      </c>
      <c r="R360" s="7">
        <v>65.674608241346817</v>
      </c>
      <c r="S360" s="7">
        <v>108.67204524075805</v>
      </c>
      <c r="T360" s="8">
        <v>8.0734873885732458E-2</v>
      </c>
      <c r="U360" s="7">
        <v>108.2626251905062</v>
      </c>
    </row>
    <row r="361" spans="1:21" x14ac:dyDescent="0.3">
      <c r="A361" s="4">
        <v>36861</v>
      </c>
      <c r="B361" s="12">
        <v>184.26165130000001</v>
      </c>
      <c r="C361" s="12">
        <v>114.3753521377222</v>
      </c>
      <c r="D361" s="5">
        <f t="shared" si="8"/>
        <v>12</v>
      </c>
      <c r="Q361" s="4">
        <v>36861</v>
      </c>
      <c r="R361" s="7">
        <v>241.3016683935536</v>
      </c>
      <c r="S361" s="7">
        <v>243.83515931178545</v>
      </c>
      <c r="T361" s="8">
        <v>0.59626523333948978</v>
      </c>
      <c r="U361" s="7">
        <v>242.22615311427879</v>
      </c>
    </row>
    <row r="362" spans="1:21" x14ac:dyDescent="0.3">
      <c r="A362" s="4">
        <v>36892</v>
      </c>
      <c r="B362" s="12">
        <v>175.17198429999999</v>
      </c>
      <c r="C362" s="12">
        <v>179.90008913911868</v>
      </c>
      <c r="D362" s="5">
        <f t="shared" si="8"/>
        <v>1</v>
      </c>
      <c r="Q362" s="4">
        <v>36892</v>
      </c>
      <c r="R362" s="7">
        <v>247.36757199629878</v>
      </c>
      <c r="S362" s="7">
        <v>271.35666168768785</v>
      </c>
      <c r="T362" s="8">
        <v>0.87055306034936575</v>
      </c>
      <c r="U362" s="7">
        <v>271.90271077276145</v>
      </c>
    </row>
    <row r="363" spans="1:21" x14ac:dyDescent="0.3">
      <c r="A363" s="4">
        <v>36923</v>
      </c>
      <c r="B363" s="12">
        <v>162.4463945</v>
      </c>
      <c r="C363" s="12">
        <v>109.80519801378254</v>
      </c>
      <c r="D363" s="5">
        <f t="shared" si="8"/>
        <v>2</v>
      </c>
      <c r="Q363" s="4">
        <v>36923</v>
      </c>
      <c r="R363" s="7">
        <v>214.58352900260269</v>
      </c>
      <c r="S363" s="7">
        <v>215.47669606722363</v>
      </c>
      <c r="T363" s="8">
        <v>0.64188835968475466</v>
      </c>
      <c r="U363" s="7">
        <v>213.81573450104869</v>
      </c>
    </row>
    <row r="364" spans="1:21" x14ac:dyDescent="0.3">
      <c r="A364" s="4">
        <v>36951</v>
      </c>
      <c r="B364" s="12">
        <v>117.9125966</v>
      </c>
      <c r="C364" s="12">
        <v>65.141112328274218</v>
      </c>
      <c r="D364" s="5">
        <f t="shared" si="8"/>
        <v>3</v>
      </c>
      <c r="Q364" s="4">
        <v>36951</v>
      </c>
      <c r="R364" s="7">
        <v>138.81126959762733</v>
      </c>
      <c r="S364" s="7">
        <v>140.96513242937655</v>
      </c>
      <c r="T364" s="8">
        <v>0.50850683004428165</v>
      </c>
      <c r="U364" s="7">
        <v>140.57051032884797</v>
      </c>
    </row>
    <row r="365" spans="1:21" x14ac:dyDescent="0.3">
      <c r="A365" s="4">
        <v>36982</v>
      </c>
      <c r="B365" s="12">
        <v>142.51482279999999</v>
      </c>
      <c r="C365" s="12">
        <v>33.802589925471743</v>
      </c>
      <c r="D365" s="5">
        <f t="shared" si="8"/>
        <v>4</v>
      </c>
      <c r="Q365" s="4">
        <v>36982</v>
      </c>
      <c r="R365" s="7">
        <v>63.657434764609988</v>
      </c>
      <c r="S365" s="7">
        <v>56.477967877816511</v>
      </c>
      <c r="T365" s="8">
        <v>8.4081575338794318E-2</v>
      </c>
      <c r="U365" s="7">
        <v>56.225417613902117</v>
      </c>
    </row>
    <row r="366" spans="1:21" x14ac:dyDescent="0.3">
      <c r="A366" s="4">
        <v>37012</v>
      </c>
      <c r="B366" s="12">
        <v>98.909064700000002</v>
      </c>
      <c r="C366" s="12">
        <v>76.815592451020976</v>
      </c>
      <c r="D366" s="5">
        <f t="shared" si="8"/>
        <v>5</v>
      </c>
      <c r="Q366" s="4">
        <v>37012</v>
      </c>
      <c r="R366" s="7">
        <v>130.52489448328964</v>
      </c>
      <c r="S366" s="7">
        <v>130.06980075014158</v>
      </c>
      <c r="T366" s="8">
        <v>0.70770721359117506</v>
      </c>
      <c r="U366" s="7">
        <v>129.06727689245443</v>
      </c>
    </row>
    <row r="367" spans="1:21" x14ac:dyDescent="0.3">
      <c r="A367" s="4">
        <v>37043</v>
      </c>
      <c r="B367" s="12">
        <v>17.163163999999998</v>
      </c>
      <c r="C367" s="12">
        <v>11.398941453080633</v>
      </c>
      <c r="D367" s="5">
        <f t="shared" si="8"/>
        <v>6</v>
      </c>
      <c r="Q367" s="4">
        <v>37043</v>
      </c>
      <c r="R367" s="7">
        <v>11.549133411816928</v>
      </c>
      <c r="S367" s="7">
        <v>19.192032025573965</v>
      </c>
      <c r="T367" s="8">
        <v>0.42183669107453159</v>
      </c>
      <c r="U367" s="7">
        <v>20.824548163304176</v>
      </c>
    </row>
    <row r="368" spans="1:21" x14ac:dyDescent="0.3">
      <c r="A368" s="4">
        <v>37073</v>
      </c>
      <c r="B368" s="12">
        <v>31.972822699999998</v>
      </c>
      <c r="C368" s="12">
        <v>0</v>
      </c>
      <c r="D368" s="5">
        <f t="shared" si="8"/>
        <v>7</v>
      </c>
      <c r="Q368" s="4">
        <v>37073</v>
      </c>
      <c r="R368" s="7">
        <v>0</v>
      </c>
      <c r="S368" s="7">
        <v>0</v>
      </c>
      <c r="T368" s="8">
        <v>0</v>
      </c>
      <c r="U368" s="7">
        <v>0</v>
      </c>
    </row>
    <row r="369" spans="1:21" x14ac:dyDescent="0.3">
      <c r="A369" s="4">
        <v>37104</v>
      </c>
      <c r="B369" s="12">
        <v>43.833548399999998</v>
      </c>
      <c r="C369" s="12">
        <v>0.12328593196571092</v>
      </c>
      <c r="D369" s="5">
        <f t="shared" si="8"/>
        <v>8</v>
      </c>
      <c r="Q369" s="4">
        <v>37104</v>
      </c>
      <c r="R369" s="7">
        <v>0.67053013905020087</v>
      </c>
      <c r="S369" s="7">
        <v>15.323295726702471</v>
      </c>
      <c r="T369" s="8">
        <v>0.10053261889130226</v>
      </c>
      <c r="U369" s="7">
        <v>8.1887525888401509</v>
      </c>
    </row>
    <row r="370" spans="1:21" x14ac:dyDescent="0.3">
      <c r="A370" s="4">
        <v>37135</v>
      </c>
      <c r="B370" s="12">
        <v>33.213593299999999</v>
      </c>
      <c r="C370" s="12">
        <v>95.621652435511351</v>
      </c>
      <c r="D370" s="5">
        <f t="shared" si="8"/>
        <v>9</v>
      </c>
      <c r="Q370" s="4">
        <v>37135</v>
      </c>
      <c r="R370" s="7">
        <v>320.41245227510689</v>
      </c>
      <c r="S370" s="7">
        <v>196.329789830484</v>
      </c>
      <c r="T370" s="8">
        <v>0.98893210723778791</v>
      </c>
      <c r="U370" s="7">
        <v>210.24966799838916</v>
      </c>
    </row>
    <row r="371" spans="1:21" x14ac:dyDescent="0.3">
      <c r="A371" s="4">
        <v>37165</v>
      </c>
      <c r="B371" s="12">
        <v>63.5874576</v>
      </c>
      <c r="C371" s="12">
        <v>143.20163726806643</v>
      </c>
      <c r="D371" s="5">
        <f t="shared" si="8"/>
        <v>10</v>
      </c>
      <c r="Q371" s="4">
        <v>37165</v>
      </c>
      <c r="R371" s="7">
        <v>351.47664257579993</v>
      </c>
      <c r="S371" s="7">
        <v>284.23712117483109</v>
      </c>
      <c r="T371" s="8">
        <v>0.88308604928581191</v>
      </c>
      <c r="U371" s="7">
        <v>281.55358588661051</v>
      </c>
    </row>
    <row r="372" spans="1:21" x14ac:dyDescent="0.3">
      <c r="A372" s="4">
        <v>37196</v>
      </c>
      <c r="B372" s="12">
        <v>186.61195670000001</v>
      </c>
      <c r="C372" s="12">
        <v>64.106363395694586</v>
      </c>
      <c r="D372" s="5">
        <f t="shared" si="8"/>
        <v>11</v>
      </c>
      <c r="Q372" s="4">
        <v>37196</v>
      </c>
      <c r="R372" s="7">
        <v>138.9393297478793</v>
      </c>
      <c r="S372" s="7">
        <v>170.38552870382782</v>
      </c>
      <c r="T372" s="8">
        <v>0.33791501612950592</v>
      </c>
      <c r="U372" s="7">
        <v>166.54650975947268</v>
      </c>
    </row>
    <row r="373" spans="1:21" x14ac:dyDescent="0.3">
      <c r="A373" s="4">
        <v>37226</v>
      </c>
      <c r="B373" s="12">
        <v>159.8899773</v>
      </c>
      <c r="C373" s="12">
        <v>137.34617843292668</v>
      </c>
      <c r="D373" s="5">
        <f t="shared" si="8"/>
        <v>12</v>
      </c>
      <c r="Q373" s="4">
        <v>37226</v>
      </c>
      <c r="R373" s="7">
        <v>289.76402156503946</v>
      </c>
      <c r="S373" s="7">
        <v>284.4077456454724</v>
      </c>
      <c r="T373" s="8">
        <v>0.73766211882599952</v>
      </c>
      <c r="U373" s="7">
        <v>283.83476661673956</v>
      </c>
    </row>
    <row r="374" spans="1:21" x14ac:dyDescent="0.3">
      <c r="A374" s="4">
        <v>37257</v>
      </c>
      <c r="B374" s="12">
        <v>88.909089499999993</v>
      </c>
      <c r="C374" s="12">
        <v>48.201160551980173</v>
      </c>
      <c r="D374" s="5">
        <f t="shared" si="8"/>
        <v>1</v>
      </c>
      <c r="Q374" s="4">
        <v>37257</v>
      </c>
      <c r="R374" s="7">
        <v>66.277921874327788</v>
      </c>
      <c r="S374" s="7">
        <v>47.777187532375315</v>
      </c>
      <c r="T374" s="8">
        <v>6.2872051572390036E-2</v>
      </c>
      <c r="U374" s="7">
        <v>45.558082477802749</v>
      </c>
    </row>
    <row r="375" spans="1:21" x14ac:dyDescent="0.3">
      <c r="A375" s="4">
        <v>37288</v>
      </c>
      <c r="B375" s="12">
        <v>60.569590300000002</v>
      </c>
      <c r="C375" s="12">
        <v>129.11727265454837</v>
      </c>
      <c r="D375" s="5">
        <f t="shared" si="8"/>
        <v>2</v>
      </c>
      <c r="Q375" s="4">
        <v>37288</v>
      </c>
      <c r="R375" s="7">
        <v>252.32357413468333</v>
      </c>
      <c r="S375" s="7">
        <v>244.28423515165474</v>
      </c>
      <c r="T375" s="8">
        <v>0.74812436589363385</v>
      </c>
      <c r="U375" s="7">
        <v>242.85854708953312</v>
      </c>
    </row>
    <row r="376" spans="1:21" x14ac:dyDescent="0.3">
      <c r="A376" s="4">
        <v>37316</v>
      </c>
      <c r="B376" s="12">
        <v>166.50195579999999</v>
      </c>
      <c r="C376" s="12">
        <v>120.05904440302409</v>
      </c>
      <c r="D376" s="5">
        <f t="shared" si="8"/>
        <v>3</v>
      </c>
      <c r="Q376" s="4">
        <v>37316</v>
      </c>
      <c r="R376" s="7">
        <v>255.83763900556053</v>
      </c>
      <c r="S376" s="7">
        <v>247.92547240317074</v>
      </c>
      <c r="T376" s="8">
        <v>0.89996271026368913</v>
      </c>
      <c r="U376" s="7">
        <v>248.05223329375593</v>
      </c>
    </row>
    <row r="377" spans="1:21" x14ac:dyDescent="0.3">
      <c r="A377" s="4">
        <v>37347</v>
      </c>
      <c r="B377" s="12">
        <v>252.6624587</v>
      </c>
      <c r="C377" s="12">
        <v>28.079238632926611</v>
      </c>
      <c r="D377" s="5">
        <f t="shared" si="8"/>
        <v>4</v>
      </c>
      <c r="Q377" s="4">
        <v>37347</v>
      </c>
      <c r="R377" s="7">
        <v>52.879152321062769</v>
      </c>
      <c r="S377" s="7">
        <v>45.78718252282669</v>
      </c>
      <c r="T377" s="8">
        <v>4.5953072451349095E-2</v>
      </c>
      <c r="U377" s="7">
        <v>45.289892804426046</v>
      </c>
    </row>
    <row r="378" spans="1:21" x14ac:dyDescent="0.3">
      <c r="A378" s="4">
        <v>37377</v>
      </c>
      <c r="B378" s="12">
        <v>44.755962799999999</v>
      </c>
      <c r="C378" s="12">
        <v>150.02750706626102</v>
      </c>
      <c r="D378" s="5">
        <f t="shared" si="8"/>
        <v>5</v>
      </c>
      <c r="Q378" s="4">
        <v>37377</v>
      </c>
      <c r="R378" s="7">
        <v>254.92642710398621</v>
      </c>
      <c r="S378" s="7">
        <v>229.26290214912638</v>
      </c>
      <c r="T378" s="8">
        <v>0.96003375848029027</v>
      </c>
      <c r="U378" s="7">
        <v>232.68318281112334</v>
      </c>
    </row>
    <row r="379" spans="1:21" x14ac:dyDescent="0.3">
      <c r="A379" s="4">
        <v>37408</v>
      </c>
      <c r="B379" s="12">
        <v>31.141248600000001</v>
      </c>
      <c r="C379" s="12">
        <v>10.512681314139625</v>
      </c>
      <c r="D379" s="5">
        <f t="shared" si="8"/>
        <v>6</v>
      </c>
      <c r="Q379" s="4">
        <v>37408</v>
      </c>
      <c r="R379" s="7">
        <v>10.651195947681705</v>
      </c>
      <c r="S379" s="7">
        <v>18.248757397976011</v>
      </c>
      <c r="T379" s="8">
        <v>0.4042221241219966</v>
      </c>
      <c r="U379" s="7">
        <v>20.004701791342683</v>
      </c>
    </row>
    <row r="380" spans="1:21" x14ac:dyDescent="0.3">
      <c r="A380" s="4">
        <v>37438</v>
      </c>
      <c r="B380" s="12">
        <v>98.952740800000001</v>
      </c>
      <c r="C380" s="12">
        <v>10.641827163635741</v>
      </c>
      <c r="D380" s="5">
        <f t="shared" si="8"/>
        <v>7</v>
      </c>
      <c r="Q380" s="4">
        <v>37438</v>
      </c>
      <c r="R380" s="7">
        <v>38.509440155731369</v>
      </c>
      <c r="S380" s="7">
        <v>38.660533133664231</v>
      </c>
      <c r="T380" s="8">
        <v>0.77256952837545256</v>
      </c>
      <c r="U380" s="7">
        <v>37.841167341175513</v>
      </c>
    </row>
    <row r="381" spans="1:21" x14ac:dyDescent="0.3">
      <c r="A381" s="4">
        <v>37469</v>
      </c>
      <c r="B381" s="12">
        <v>65.492701299999993</v>
      </c>
      <c r="C381" s="12">
        <v>8.0716329597635141</v>
      </c>
      <c r="D381" s="5">
        <f t="shared" si="8"/>
        <v>8</v>
      </c>
      <c r="Q381" s="4">
        <v>37469</v>
      </c>
      <c r="R381" s="7">
        <v>43.900168369394407</v>
      </c>
      <c r="S381" s="7">
        <v>50.355401173493043</v>
      </c>
      <c r="T381" s="8">
        <v>0.75110958749475476</v>
      </c>
      <c r="U381" s="7">
        <v>44.297932325508299</v>
      </c>
    </row>
    <row r="382" spans="1:21" x14ac:dyDescent="0.3">
      <c r="A382" s="4">
        <v>37500</v>
      </c>
      <c r="B382" s="12">
        <v>154.17500000000001</v>
      </c>
      <c r="C382" s="12">
        <v>10.645450660376804</v>
      </c>
      <c r="D382" s="5">
        <f t="shared" si="8"/>
        <v>9</v>
      </c>
      <c r="Q382" s="4">
        <v>37500</v>
      </c>
      <c r="R382" s="7">
        <v>35.671156738954835</v>
      </c>
      <c r="S382" s="7">
        <v>50.437003916763082</v>
      </c>
      <c r="T382" s="8">
        <v>0.51075673007062672</v>
      </c>
      <c r="U382" s="7">
        <v>48.786262215867509</v>
      </c>
    </row>
    <row r="383" spans="1:21" x14ac:dyDescent="0.3">
      <c r="A383" s="4">
        <v>37530</v>
      </c>
      <c r="B383" s="13">
        <f>B2</f>
        <v>159.02292009999999</v>
      </c>
      <c r="C383" s="12">
        <v>44.394501362694484</v>
      </c>
      <c r="D383" s="5">
        <f t="shared" si="8"/>
        <v>10</v>
      </c>
      <c r="Q383" s="4">
        <v>37530</v>
      </c>
      <c r="R383" s="7">
        <v>108.96265284018646</v>
      </c>
      <c r="S383" s="7">
        <v>144.80856513451403</v>
      </c>
      <c r="T383" s="8">
        <v>0.44125432083349952</v>
      </c>
      <c r="U383" s="7">
        <v>142.63205048778434</v>
      </c>
    </row>
    <row r="384" spans="1:21" x14ac:dyDescent="0.3">
      <c r="A384" s="4">
        <v>37561</v>
      </c>
      <c r="B384" s="13">
        <f t="shared" ref="B384:B447" si="9">B3</f>
        <v>259.27815950000002</v>
      </c>
      <c r="C384" s="12">
        <v>111.11446784343565</v>
      </c>
      <c r="D384" s="5">
        <f t="shared" si="8"/>
        <v>11</v>
      </c>
      <c r="Q384" s="4">
        <v>37561</v>
      </c>
      <c r="R384" s="7">
        <v>240.82117390074995</v>
      </c>
      <c r="S384" s="7">
        <v>237.02662755209752</v>
      </c>
      <c r="T384" s="8">
        <v>0.67736736745230397</v>
      </c>
      <c r="U384" s="7">
        <v>234.17017958490769</v>
      </c>
    </row>
    <row r="385" spans="1:21" x14ac:dyDescent="0.3">
      <c r="A385" s="4">
        <v>37591</v>
      </c>
      <c r="B385" s="13">
        <f t="shared" si="9"/>
        <v>248.2512285</v>
      </c>
      <c r="C385" s="12">
        <v>103.36537614930414</v>
      </c>
      <c r="D385" s="5">
        <f t="shared" si="8"/>
        <v>12</v>
      </c>
      <c r="Q385" s="4">
        <v>37591</v>
      </c>
      <c r="R385" s="7">
        <v>218.07353815987165</v>
      </c>
      <c r="S385" s="7">
        <v>223.93850899376568</v>
      </c>
      <c r="T385" s="8">
        <v>0.51468208132380988</v>
      </c>
      <c r="U385" s="7">
        <v>222.02138926738556</v>
      </c>
    </row>
    <row r="386" spans="1:21" x14ac:dyDescent="0.3">
      <c r="A386" s="4">
        <v>37622</v>
      </c>
      <c r="B386" s="13">
        <f t="shared" si="9"/>
        <v>83.710898</v>
      </c>
      <c r="C386" s="12">
        <v>158.14805715344852</v>
      </c>
      <c r="D386" s="5">
        <f t="shared" si="8"/>
        <v>1</v>
      </c>
      <c r="Q386" s="4">
        <v>37622</v>
      </c>
      <c r="R386" s="7">
        <v>217.45792957183022</v>
      </c>
      <c r="S386" s="7">
        <v>228.94462520748573</v>
      </c>
      <c r="T386" s="8">
        <v>0.79240065546760963</v>
      </c>
      <c r="U386" s="7">
        <v>230.71178197410998</v>
      </c>
    </row>
    <row r="387" spans="1:21" x14ac:dyDescent="0.3">
      <c r="A387" s="4">
        <v>37653</v>
      </c>
      <c r="B387" s="13">
        <f t="shared" si="9"/>
        <v>65.304975499999998</v>
      </c>
      <c r="C387" s="12">
        <v>39.088740781880858</v>
      </c>
      <c r="D387" s="5">
        <f t="shared" ref="D387:D450" si="10">MONTH(A387)</f>
        <v>2</v>
      </c>
      <c r="Q387" s="4">
        <v>37653</v>
      </c>
      <c r="R387" s="7">
        <v>76.388004329186032</v>
      </c>
      <c r="S387" s="7">
        <v>96.823473857362671</v>
      </c>
      <c r="T387" s="8">
        <v>0.10597229858208705</v>
      </c>
      <c r="U387" s="7">
        <v>98.21894166030205</v>
      </c>
    </row>
    <row r="388" spans="1:21" x14ac:dyDescent="0.3">
      <c r="A388" s="4">
        <v>37681</v>
      </c>
      <c r="B388" s="13">
        <f t="shared" si="9"/>
        <v>24.193040199999999</v>
      </c>
      <c r="C388" s="12">
        <v>139.65627704747033</v>
      </c>
      <c r="D388" s="5">
        <f t="shared" si="10"/>
        <v>3</v>
      </c>
      <c r="Q388" s="4">
        <v>37681</v>
      </c>
      <c r="R388" s="7">
        <v>297.59800579614893</v>
      </c>
      <c r="S388" s="7">
        <v>285.07506752496789</v>
      </c>
      <c r="T388" s="8">
        <v>0.94921918470154742</v>
      </c>
      <c r="U388" s="7">
        <v>285.83732231520162</v>
      </c>
    </row>
    <row r="389" spans="1:21" x14ac:dyDescent="0.3">
      <c r="A389" s="4">
        <v>37712</v>
      </c>
      <c r="B389" s="13">
        <f t="shared" si="9"/>
        <v>14.619989199999999</v>
      </c>
      <c r="C389" s="12">
        <v>45.867179171182094</v>
      </c>
      <c r="D389" s="5">
        <f t="shared" si="10"/>
        <v>4</v>
      </c>
      <c r="Q389" s="4">
        <v>37712</v>
      </c>
      <c r="R389" s="7">
        <v>86.377611075476011</v>
      </c>
      <c r="S389" s="7">
        <v>79.766883112651954</v>
      </c>
      <c r="T389" s="8">
        <v>0.20180372995258886</v>
      </c>
      <c r="U389" s="7">
        <v>79.99109376043333</v>
      </c>
    </row>
    <row r="390" spans="1:21" x14ac:dyDescent="0.3">
      <c r="A390" s="4">
        <v>37742</v>
      </c>
      <c r="B390" s="13">
        <f t="shared" si="9"/>
        <v>39.7721181</v>
      </c>
      <c r="C390" s="12">
        <v>22.107710974523794</v>
      </c>
      <c r="D390" s="5">
        <f t="shared" si="10"/>
        <v>5</v>
      </c>
      <c r="Q390" s="4">
        <v>37742</v>
      </c>
      <c r="R390" s="7">
        <v>37.565376379238344</v>
      </c>
      <c r="S390" s="7">
        <v>45.309091533249827</v>
      </c>
      <c r="T390" s="8">
        <v>0.13820761338410184</v>
      </c>
      <c r="U390" s="7">
        <v>45.158099420717953</v>
      </c>
    </row>
    <row r="391" spans="1:21" x14ac:dyDescent="0.3">
      <c r="A391" s="4">
        <v>37773</v>
      </c>
      <c r="B391" s="13">
        <f t="shared" si="9"/>
        <v>64.986418599999993</v>
      </c>
      <c r="C391" s="12">
        <v>96.101432573050189</v>
      </c>
      <c r="D391" s="5">
        <f t="shared" si="10"/>
        <v>6</v>
      </c>
      <c r="Q391" s="4">
        <v>37773</v>
      </c>
      <c r="R391" s="7">
        <v>97.367660885119435</v>
      </c>
      <c r="S391" s="7">
        <v>72.382589115849925</v>
      </c>
      <c r="T391" s="8">
        <v>0.93473145590094564</v>
      </c>
      <c r="U391" s="7">
        <v>70.642711314983529</v>
      </c>
    </row>
    <row r="392" spans="1:21" x14ac:dyDescent="0.3">
      <c r="A392" s="4">
        <v>37803</v>
      </c>
      <c r="B392" s="13">
        <f t="shared" si="9"/>
        <v>105.70541179999999</v>
      </c>
      <c r="C392" s="12">
        <v>13.570516361505719</v>
      </c>
      <c r="D392" s="5">
        <f t="shared" si="10"/>
        <v>7</v>
      </c>
      <c r="Q392" s="4">
        <v>37803</v>
      </c>
      <c r="R392" s="7">
        <v>49.107449281974233</v>
      </c>
      <c r="S392" s="7">
        <v>46.105326761964086</v>
      </c>
      <c r="T392" s="8">
        <v>0.83482675058270672</v>
      </c>
      <c r="U392" s="7">
        <v>44.894425749088214</v>
      </c>
    </row>
    <row r="393" spans="1:21" x14ac:dyDescent="0.3">
      <c r="A393" s="4">
        <v>37834</v>
      </c>
      <c r="B393" s="13">
        <f t="shared" si="9"/>
        <v>251.67476869999999</v>
      </c>
      <c r="C393" s="12">
        <v>16.082447759981733</v>
      </c>
      <c r="D393" s="5">
        <f t="shared" si="10"/>
        <v>8</v>
      </c>
      <c r="Q393" s="4">
        <v>37834</v>
      </c>
      <c r="R393" s="7">
        <v>87.469557643992943</v>
      </c>
      <c r="S393" s="7">
        <v>61.26710860221587</v>
      </c>
      <c r="T393" s="8">
        <v>0.90053822546710571</v>
      </c>
      <c r="U393" s="7">
        <v>64.667812064528917</v>
      </c>
    </row>
    <row r="394" spans="1:21" x14ac:dyDescent="0.3">
      <c r="A394" s="4">
        <v>37865</v>
      </c>
      <c r="B394" s="13">
        <f t="shared" si="9"/>
        <v>144.34891440000001</v>
      </c>
      <c r="C394" s="12">
        <v>3.9635636821913089</v>
      </c>
      <c r="D394" s="5">
        <f t="shared" si="10"/>
        <v>9</v>
      </c>
      <c r="Q394" s="4">
        <v>37865</v>
      </c>
      <c r="R394" s="7">
        <v>13.281250917682682</v>
      </c>
      <c r="S394" s="7">
        <v>27.359656716551175</v>
      </c>
      <c r="T394" s="8">
        <v>0.28425432135696865</v>
      </c>
      <c r="U394" s="7">
        <v>28.221799403774408</v>
      </c>
    </row>
    <row r="395" spans="1:21" x14ac:dyDescent="0.3">
      <c r="A395" s="4">
        <v>37895</v>
      </c>
      <c r="B395" s="13">
        <f t="shared" si="9"/>
        <v>226.66548710000001</v>
      </c>
      <c r="C395" s="12">
        <v>58.523894869722334</v>
      </c>
      <c r="D395" s="5">
        <f t="shared" si="10"/>
        <v>10</v>
      </c>
      <c r="Q395" s="4">
        <v>37895</v>
      </c>
      <c r="R395" s="7">
        <v>143.64208728119124</v>
      </c>
      <c r="S395" s="7">
        <v>169.78456285918088</v>
      </c>
      <c r="T395" s="8">
        <v>0.54881293305308476</v>
      </c>
      <c r="U395" s="7">
        <v>165.81730155246791</v>
      </c>
    </row>
    <row r="396" spans="1:21" x14ac:dyDescent="0.3">
      <c r="A396" s="4">
        <v>37926</v>
      </c>
      <c r="B396" s="13">
        <f t="shared" si="9"/>
        <v>163.05918790000001</v>
      </c>
      <c r="C396" s="12">
        <v>11.667403334286069</v>
      </c>
      <c r="D396" s="5">
        <f t="shared" si="10"/>
        <v>11</v>
      </c>
      <c r="Q396" s="4">
        <v>37926</v>
      </c>
      <c r="R396" s="7">
        <v>25.28705596912318</v>
      </c>
      <c r="S396" s="7">
        <v>61.283579927096824</v>
      </c>
      <c r="T396" s="8">
        <v>8.187308135304645E-3</v>
      </c>
      <c r="U396" s="7">
        <v>65.43682583516842</v>
      </c>
    </row>
    <row r="397" spans="1:21" x14ac:dyDescent="0.3">
      <c r="A397" s="4">
        <v>37956</v>
      </c>
      <c r="B397" s="13">
        <f t="shared" si="9"/>
        <v>158.24643040000001</v>
      </c>
      <c r="C397" s="12">
        <v>136.85080512659619</v>
      </c>
      <c r="D397" s="5">
        <f t="shared" si="10"/>
        <v>12</v>
      </c>
      <c r="Q397" s="4">
        <v>37956</v>
      </c>
      <c r="R397" s="7">
        <v>288.7189152282192</v>
      </c>
      <c r="S397" s="7">
        <v>283.54482431720146</v>
      </c>
      <c r="T397" s="8">
        <v>0.73505244822689597</v>
      </c>
      <c r="U397" s="7">
        <v>282.94421346773942</v>
      </c>
    </row>
    <row r="398" spans="1:21" x14ac:dyDescent="0.3">
      <c r="A398" s="4">
        <v>37987</v>
      </c>
      <c r="B398" s="13">
        <f t="shared" si="9"/>
        <v>277.81346819999999</v>
      </c>
      <c r="C398" s="12">
        <v>139.10517801996329</v>
      </c>
      <c r="D398" s="5">
        <f t="shared" si="10"/>
        <v>1</v>
      </c>
      <c r="Q398" s="4">
        <v>37987</v>
      </c>
      <c r="R398" s="7">
        <v>191.27344685361172</v>
      </c>
      <c r="S398" s="7">
        <v>193.30634026660343</v>
      </c>
      <c r="T398" s="8">
        <v>0.69696023433019927</v>
      </c>
      <c r="U398" s="7">
        <v>195.47645477808842</v>
      </c>
    </row>
    <row r="399" spans="1:21" x14ac:dyDescent="0.3">
      <c r="A399" s="4">
        <v>38018</v>
      </c>
      <c r="B399" s="13">
        <f t="shared" si="9"/>
        <v>80.799814400000002</v>
      </c>
      <c r="C399" s="12">
        <v>138.32790245069185</v>
      </c>
      <c r="D399" s="5">
        <f t="shared" si="10"/>
        <v>2</v>
      </c>
      <c r="Q399" s="4">
        <v>38018</v>
      </c>
      <c r="R399" s="7">
        <v>270.32317234810222</v>
      </c>
      <c r="S399" s="7">
        <v>257.67529537499274</v>
      </c>
      <c r="T399" s="8">
        <v>0.78919340897462176</v>
      </c>
      <c r="U399" s="7">
        <v>256.49631407864388</v>
      </c>
    </row>
    <row r="400" spans="1:21" x14ac:dyDescent="0.3">
      <c r="A400" s="4">
        <v>38047</v>
      </c>
      <c r="B400" s="13">
        <f t="shared" si="9"/>
        <v>21.379026100000001</v>
      </c>
      <c r="C400" s="12">
        <v>113.14373477362103</v>
      </c>
      <c r="D400" s="5">
        <f t="shared" si="10"/>
        <v>3</v>
      </c>
      <c r="Q400" s="4">
        <v>38047</v>
      </c>
      <c r="R400" s="7">
        <v>241.10158561303217</v>
      </c>
      <c r="S400" s="7">
        <v>234.70878794784093</v>
      </c>
      <c r="T400" s="8">
        <v>0.87429456834812136</v>
      </c>
      <c r="U400" s="7">
        <v>234.66387986273452</v>
      </c>
    </row>
    <row r="401" spans="1:21" x14ac:dyDescent="0.3">
      <c r="A401" s="4">
        <v>38078</v>
      </c>
      <c r="B401" s="13">
        <f t="shared" si="9"/>
        <v>70.4706458</v>
      </c>
      <c r="C401" s="12">
        <v>96.217586891725716</v>
      </c>
      <c r="D401" s="5">
        <f t="shared" si="10"/>
        <v>4</v>
      </c>
      <c r="Q401" s="4">
        <v>38078</v>
      </c>
      <c r="R401" s="7">
        <v>181.19809086441603</v>
      </c>
      <c r="S401" s="7">
        <v>184.41260803088082</v>
      </c>
      <c r="T401" s="8">
        <v>0.76437781704843566</v>
      </c>
      <c r="U401" s="7">
        <v>184.92197613424125</v>
      </c>
    </row>
    <row r="402" spans="1:21" x14ac:dyDescent="0.3">
      <c r="A402" s="4">
        <v>38108</v>
      </c>
      <c r="B402" s="13">
        <f t="shared" si="9"/>
        <v>36.455129900000003</v>
      </c>
      <c r="C402" s="12">
        <v>11.115828306355965</v>
      </c>
      <c r="D402" s="5">
        <f t="shared" si="10"/>
        <v>5</v>
      </c>
      <c r="Q402" s="4">
        <v>38108</v>
      </c>
      <c r="R402" s="7">
        <v>18.887992274570973</v>
      </c>
      <c r="S402" s="7">
        <v>25.313697331735813</v>
      </c>
      <c r="T402" s="8">
        <v>3.8200802243388614E-2</v>
      </c>
      <c r="U402" s="7">
        <v>25.859748738269641</v>
      </c>
    </row>
    <row r="403" spans="1:21" x14ac:dyDescent="0.3">
      <c r="A403" s="4">
        <v>38139</v>
      </c>
      <c r="B403" s="13">
        <f t="shared" si="9"/>
        <v>47.932856700000002</v>
      </c>
      <c r="C403" s="12">
        <v>15.666507038986316</v>
      </c>
      <c r="D403" s="5">
        <f t="shared" si="10"/>
        <v>6</v>
      </c>
      <c r="Q403" s="4">
        <v>38139</v>
      </c>
      <c r="R403" s="7">
        <v>15.872928256993836</v>
      </c>
      <c r="S403" s="7">
        <v>23.394681500069581</v>
      </c>
      <c r="T403" s="8">
        <v>0.49617120589409031</v>
      </c>
      <c r="U403" s="7">
        <v>24.472195834810435</v>
      </c>
    </row>
    <row r="404" spans="1:21" x14ac:dyDescent="0.3">
      <c r="A404" s="4">
        <v>38169</v>
      </c>
      <c r="B404" s="13">
        <f t="shared" si="9"/>
        <v>275.9363204</v>
      </c>
      <c r="C404" s="12">
        <v>2.6570640505171406E-10</v>
      </c>
      <c r="D404" s="5">
        <f t="shared" si="10"/>
        <v>7</v>
      </c>
      <c r="Q404" s="4">
        <v>38169</v>
      </c>
      <c r="R404" s="7">
        <v>9.6150827738473688E-10</v>
      </c>
      <c r="S404" s="7">
        <v>8.06556496986322E-7</v>
      </c>
      <c r="T404" s="8">
        <v>1.421970246776682E-7</v>
      </c>
      <c r="U404" s="7">
        <v>1.4547730428187731E-4</v>
      </c>
    </row>
    <row r="405" spans="1:21" x14ac:dyDescent="0.3">
      <c r="A405" s="4">
        <v>38200</v>
      </c>
      <c r="B405" s="13">
        <f t="shared" si="9"/>
        <v>94.439412599999997</v>
      </c>
      <c r="C405" s="12">
        <v>2.6398049953968435E-2</v>
      </c>
      <c r="D405" s="5">
        <f t="shared" si="10"/>
        <v>8</v>
      </c>
      <c r="Q405" s="4">
        <v>38200</v>
      </c>
      <c r="R405" s="7">
        <v>0.14357427343138901</v>
      </c>
      <c r="S405" s="7">
        <v>9.8835750078246285</v>
      </c>
      <c r="T405" s="8">
        <v>4.4239728522164103E-2</v>
      </c>
      <c r="U405" s="7">
        <v>4.9672404833444803</v>
      </c>
    </row>
    <row r="406" spans="1:21" x14ac:dyDescent="0.3">
      <c r="A406" s="4">
        <v>38231</v>
      </c>
      <c r="B406" s="13">
        <f t="shared" si="9"/>
        <v>100.87269499999999</v>
      </c>
      <c r="C406" s="12">
        <v>19.64572363067418</v>
      </c>
      <c r="D406" s="5">
        <f t="shared" si="10"/>
        <v>9</v>
      </c>
      <c r="Q406" s="4">
        <v>38231</v>
      </c>
      <c r="R406" s="7">
        <v>65.829593244778863</v>
      </c>
      <c r="S406" s="7">
        <v>73.704154597043598</v>
      </c>
      <c r="T406" s="8">
        <v>0.68880766707984464</v>
      </c>
      <c r="U406" s="7">
        <v>70.575407598763675</v>
      </c>
    </row>
    <row r="407" spans="1:21" x14ac:dyDescent="0.3">
      <c r="A407" s="4">
        <v>38261</v>
      </c>
      <c r="B407" s="13">
        <f t="shared" si="9"/>
        <v>126.56211570000001</v>
      </c>
      <c r="C407" s="12">
        <v>24.458797567058365</v>
      </c>
      <c r="D407" s="5">
        <f t="shared" si="10"/>
        <v>10</v>
      </c>
      <c r="Q407" s="4">
        <v>38261</v>
      </c>
      <c r="R407" s="7">
        <v>60.032107274152352</v>
      </c>
      <c r="S407" s="7">
        <v>102.73322087951345</v>
      </c>
      <c r="T407" s="8">
        <v>0.25434118399421268</v>
      </c>
      <c r="U407" s="7">
        <v>104.89196211376772</v>
      </c>
    </row>
    <row r="408" spans="1:21" x14ac:dyDescent="0.3">
      <c r="A408" s="4">
        <v>38292</v>
      </c>
      <c r="B408" s="13">
        <f t="shared" si="9"/>
        <v>219.97909089999999</v>
      </c>
      <c r="C408" s="12">
        <v>54.465795401483838</v>
      </c>
      <c r="D408" s="5">
        <f t="shared" si="10"/>
        <v>11</v>
      </c>
      <c r="Q408" s="4">
        <v>38292</v>
      </c>
      <c r="R408" s="7">
        <v>118.04508486244166</v>
      </c>
      <c r="S408" s="7">
        <v>154.50895849350502</v>
      </c>
      <c r="T408" s="8">
        <v>0.25772644760351343</v>
      </c>
      <c r="U408" s="7">
        <v>151.18528704353216</v>
      </c>
    </row>
    <row r="409" spans="1:21" x14ac:dyDescent="0.3">
      <c r="A409" s="4">
        <v>38322</v>
      </c>
      <c r="B409" s="13">
        <f t="shared" si="9"/>
        <v>221.57449120000001</v>
      </c>
      <c r="C409" s="12">
        <v>155.20843035774303</v>
      </c>
      <c r="D409" s="5">
        <f t="shared" si="10"/>
        <v>12</v>
      </c>
      <c r="Q409" s="4">
        <v>38322</v>
      </c>
      <c r="R409" s="7">
        <v>327.44863726383215</v>
      </c>
      <c r="S409" s="7">
        <v>315.20764112856784</v>
      </c>
      <c r="T409" s="8">
        <v>0.81923665378007016</v>
      </c>
      <c r="U409" s="7">
        <v>315.77662762183712</v>
      </c>
    </row>
    <row r="410" spans="1:21" x14ac:dyDescent="0.3">
      <c r="A410" s="4">
        <v>38353</v>
      </c>
      <c r="B410" s="13">
        <f t="shared" si="9"/>
        <v>57.167225799999997</v>
      </c>
      <c r="C410" s="12">
        <v>138.86455086758352</v>
      </c>
      <c r="D410" s="5">
        <f t="shared" si="10"/>
        <v>1</v>
      </c>
      <c r="Q410" s="4">
        <v>38353</v>
      </c>
      <c r="R410" s="7">
        <v>190.94257789893024</v>
      </c>
      <c r="S410" s="7">
        <v>192.86547387757565</v>
      </c>
      <c r="T410" s="8">
        <v>0.69558046073345248</v>
      </c>
      <c r="U410" s="7">
        <v>195.0368364297741</v>
      </c>
    </row>
    <row r="411" spans="1:21" x14ac:dyDescent="0.3">
      <c r="A411" s="4">
        <v>38384</v>
      </c>
      <c r="B411" s="13">
        <f t="shared" si="9"/>
        <v>52.720329100000001</v>
      </c>
      <c r="C411" s="12">
        <v>160.107673611492</v>
      </c>
      <c r="D411" s="5">
        <f t="shared" si="10"/>
        <v>2</v>
      </c>
      <c r="Q411" s="4">
        <v>38384</v>
      </c>
      <c r="R411" s="7">
        <v>312.88563970931943</v>
      </c>
      <c r="S411" s="7">
        <v>288.57289230178532</v>
      </c>
      <c r="T411" s="8">
        <v>0.86460842370762436</v>
      </c>
      <c r="U411" s="7">
        <v>288.29418186676577</v>
      </c>
    </row>
    <row r="412" spans="1:21" x14ac:dyDescent="0.3">
      <c r="A412" s="4">
        <v>38412</v>
      </c>
      <c r="B412" s="13">
        <f t="shared" si="9"/>
        <v>18.868248399999999</v>
      </c>
      <c r="C412" s="12">
        <v>76.0555731249042</v>
      </c>
      <c r="D412" s="5">
        <f t="shared" si="10"/>
        <v>3</v>
      </c>
      <c r="Q412" s="4">
        <v>38412</v>
      </c>
      <c r="R412" s="7">
        <v>162.06924149897816</v>
      </c>
      <c r="S412" s="7">
        <v>162.6435322676669</v>
      </c>
      <c r="T412" s="8">
        <v>0.62400851019432024</v>
      </c>
      <c r="U412" s="7">
        <v>162.1912759527379</v>
      </c>
    </row>
    <row r="413" spans="1:21" x14ac:dyDescent="0.3">
      <c r="A413" s="4">
        <v>38443</v>
      </c>
      <c r="B413" s="13">
        <f t="shared" si="9"/>
        <v>36.836727199999999</v>
      </c>
      <c r="C413" s="12">
        <v>80.622639041394123</v>
      </c>
      <c r="D413" s="5">
        <f t="shared" si="10"/>
        <v>4</v>
      </c>
      <c r="Q413" s="4">
        <v>38443</v>
      </c>
      <c r="R413" s="7">
        <v>151.82950172291035</v>
      </c>
      <c r="S413" s="7">
        <v>150.97913819718354</v>
      </c>
      <c r="T413" s="8">
        <v>0.62319814608082913</v>
      </c>
      <c r="U413" s="7">
        <v>151.7464576293022</v>
      </c>
    </row>
    <row r="414" spans="1:21" x14ac:dyDescent="0.3">
      <c r="A414" s="4">
        <v>38473</v>
      </c>
      <c r="B414" s="13">
        <f t="shared" si="9"/>
        <v>47.116242999999997</v>
      </c>
      <c r="C414" s="12">
        <v>76.101447700057236</v>
      </c>
      <c r="D414" s="5">
        <f t="shared" si="10"/>
        <v>5</v>
      </c>
      <c r="Q414" s="4">
        <v>38473</v>
      </c>
      <c r="R414" s="7">
        <v>129.31142121189919</v>
      </c>
      <c r="S414" s="7">
        <v>129.04518890657292</v>
      </c>
      <c r="T414" s="8">
        <v>0.70258400242997854</v>
      </c>
      <c r="U414" s="7">
        <v>128.02665754697739</v>
      </c>
    </row>
    <row r="415" spans="1:21" x14ac:dyDescent="0.3">
      <c r="A415" s="4">
        <v>38504</v>
      </c>
      <c r="B415" s="13">
        <f t="shared" si="9"/>
        <v>48.831038399999997</v>
      </c>
      <c r="C415" s="12">
        <v>11.080726428190252</v>
      </c>
      <c r="D415" s="5">
        <f t="shared" si="10"/>
        <v>6</v>
      </c>
      <c r="Q415" s="4">
        <v>38504</v>
      </c>
      <c r="R415" s="7">
        <v>11.226725599544988</v>
      </c>
      <c r="S415" s="7">
        <v>18.856642511260446</v>
      </c>
      <c r="T415" s="8">
        <v>0.41561250361820862</v>
      </c>
      <c r="U415" s="7">
        <v>20.533170921494126</v>
      </c>
    </row>
    <row r="416" spans="1:21" x14ac:dyDescent="0.3">
      <c r="A416" s="4">
        <v>38534</v>
      </c>
      <c r="B416" s="13">
        <f t="shared" si="9"/>
        <v>247.66047760000001</v>
      </c>
      <c r="C416" s="12">
        <v>1.8169135890275354</v>
      </c>
      <c r="D416" s="5">
        <f t="shared" si="10"/>
        <v>7</v>
      </c>
      <c r="Q416" s="4">
        <v>38534</v>
      </c>
      <c r="R416" s="7">
        <v>6.5748413358826392</v>
      </c>
      <c r="S416" s="7">
        <v>10.743650148097235</v>
      </c>
      <c r="T416" s="8">
        <v>0.32312578794780428</v>
      </c>
      <c r="U416" s="7">
        <v>12.262224575997342</v>
      </c>
    </row>
    <row r="417" spans="1:21" x14ac:dyDescent="0.3">
      <c r="A417" s="4">
        <v>38565</v>
      </c>
      <c r="B417" s="13">
        <f t="shared" si="9"/>
        <v>129.6517126</v>
      </c>
      <c r="C417" s="12">
        <v>10.020673918188562</v>
      </c>
      <c r="D417" s="5">
        <f t="shared" si="10"/>
        <v>8</v>
      </c>
      <c r="Q417" s="4">
        <v>38565</v>
      </c>
      <c r="R417" s="7">
        <v>54.500653631822935</v>
      </c>
      <c r="S417" s="7">
        <v>53.551566399066964</v>
      </c>
      <c r="T417" s="8">
        <v>0.80297270711543312</v>
      </c>
      <c r="U417" s="7">
        <v>49.65001649063619</v>
      </c>
    </row>
    <row r="418" spans="1:21" x14ac:dyDescent="0.3">
      <c r="A418" s="4">
        <v>38596</v>
      </c>
      <c r="B418" s="13">
        <f t="shared" si="9"/>
        <v>153.43185199999999</v>
      </c>
      <c r="C418" s="12">
        <v>8.6321763228625148</v>
      </c>
      <c r="D418" s="5">
        <f t="shared" si="10"/>
        <v>9</v>
      </c>
      <c r="Q418" s="4">
        <v>38596</v>
      </c>
      <c r="R418" s="7">
        <v>28.925005096987082</v>
      </c>
      <c r="S418" s="7">
        <v>44.298077374619936</v>
      </c>
      <c r="T418" s="8">
        <v>0.45484193736387296</v>
      </c>
      <c r="U418" s="7">
        <v>43.24092383582007</v>
      </c>
    </row>
    <row r="419" spans="1:21" x14ac:dyDescent="0.3">
      <c r="A419" s="4">
        <v>38626</v>
      </c>
      <c r="B419" s="13">
        <f t="shared" si="9"/>
        <v>74.361201199999996</v>
      </c>
      <c r="C419" s="12">
        <v>77.465017803479</v>
      </c>
      <c r="D419" s="5">
        <f t="shared" si="10"/>
        <v>10</v>
      </c>
      <c r="Q419" s="4">
        <v>38626</v>
      </c>
      <c r="R419" s="7">
        <v>190.13151591048842</v>
      </c>
      <c r="S419" s="7">
        <v>199.53563087600787</v>
      </c>
      <c r="T419" s="8">
        <v>0.66373495208275335</v>
      </c>
      <c r="U419" s="7">
        <v>194.34279714795548</v>
      </c>
    </row>
    <row r="420" spans="1:21" x14ac:dyDescent="0.3">
      <c r="A420" s="4">
        <v>38657</v>
      </c>
      <c r="B420" s="13">
        <f t="shared" si="9"/>
        <v>246.11133939999999</v>
      </c>
      <c r="C420" s="12">
        <v>4.4502710697997951</v>
      </c>
      <c r="D420" s="5">
        <f t="shared" si="10"/>
        <v>11</v>
      </c>
      <c r="Q420" s="4">
        <v>38657</v>
      </c>
      <c r="R420" s="7">
        <v>9.6451841421391222</v>
      </c>
      <c r="S420" s="7">
        <v>34.365017264205811</v>
      </c>
      <c r="T420" s="8">
        <v>6.3903107225013716E-4</v>
      </c>
      <c r="U420" s="7">
        <v>40.869194166756515</v>
      </c>
    </row>
    <row r="421" spans="1:21" x14ac:dyDescent="0.3">
      <c r="A421" s="4">
        <v>38687</v>
      </c>
      <c r="B421" s="13">
        <f t="shared" si="9"/>
        <v>138.568602</v>
      </c>
      <c r="C421" s="12">
        <v>123.01620058715339</v>
      </c>
      <c r="D421" s="5">
        <f t="shared" si="10"/>
        <v>12</v>
      </c>
      <c r="Q421" s="4">
        <v>38687</v>
      </c>
      <c r="R421" s="7">
        <v>259.53156765255596</v>
      </c>
      <c r="S421" s="7">
        <v>259.23678120623418</v>
      </c>
      <c r="T421" s="8">
        <v>0.65429758439408126</v>
      </c>
      <c r="U421" s="7">
        <v>257.95726710324743</v>
      </c>
    </row>
    <row r="422" spans="1:21" x14ac:dyDescent="0.3">
      <c r="A422" s="4">
        <v>38718</v>
      </c>
      <c r="B422" s="13">
        <f t="shared" si="9"/>
        <v>280.42951640000001</v>
      </c>
      <c r="C422" s="12">
        <v>59.842257859418041</v>
      </c>
      <c r="D422" s="5">
        <f t="shared" si="10"/>
        <v>1</v>
      </c>
      <c r="Q422" s="4">
        <v>38718</v>
      </c>
      <c r="R422" s="7">
        <v>82.284750943137794</v>
      </c>
      <c r="S422" s="7">
        <v>63.551029732448477</v>
      </c>
      <c r="T422" s="8">
        <v>0.12190855121038169</v>
      </c>
      <c r="U422" s="7">
        <v>62.119842784111803</v>
      </c>
    </row>
    <row r="423" spans="1:21" x14ac:dyDescent="0.3">
      <c r="A423" s="4">
        <v>38749</v>
      </c>
      <c r="B423" s="13">
        <f t="shared" si="9"/>
        <v>87.0684057</v>
      </c>
      <c r="C423" s="12">
        <v>2.3121699530747732</v>
      </c>
      <c r="D423" s="5">
        <f t="shared" si="10"/>
        <v>2</v>
      </c>
      <c r="Q423" s="4">
        <v>38749</v>
      </c>
      <c r="R423" s="7">
        <v>4.518489080291908</v>
      </c>
      <c r="S423" s="7">
        <v>10.835938792105152</v>
      </c>
      <c r="T423" s="8">
        <v>3.0137301335572261E-5</v>
      </c>
      <c r="U423" s="7">
        <v>14.492794071888961</v>
      </c>
    </row>
    <row r="424" spans="1:21" x14ac:dyDescent="0.3">
      <c r="A424" s="4">
        <v>38777</v>
      </c>
      <c r="B424" s="13">
        <f t="shared" si="9"/>
        <v>25.3254023</v>
      </c>
      <c r="C424" s="12">
        <v>84.545185533352253</v>
      </c>
      <c r="D424" s="5">
        <f t="shared" si="10"/>
        <v>3</v>
      </c>
      <c r="Q424" s="4">
        <v>38777</v>
      </c>
      <c r="R424" s="7">
        <v>180.16002679091034</v>
      </c>
      <c r="S424" s="7">
        <v>179.33952256429524</v>
      </c>
      <c r="T424" s="8">
        <v>0.70067611239619487</v>
      </c>
      <c r="U424" s="7">
        <v>178.90024000499247</v>
      </c>
    </row>
    <row r="425" spans="1:21" x14ac:dyDescent="0.3">
      <c r="A425" s="4">
        <v>38808</v>
      </c>
      <c r="B425" s="13">
        <f t="shared" si="9"/>
        <v>4.5868741000000002</v>
      </c>
      <c r="C425" s="12">
        <v>67.700447514653192</v>
      </c>
      <c r="D425" s="5">
        <f t="shared" si="10"/>
        <v>4</v>
      </c>
      <c r="Q425" s="4">
        <v>38808</v>
      </c>
      <c r="R425" s="7">
        <v>127.49427871357976</v>
      </c>
      <c r="S425" s="7">
        <v>123.90748305376565</v>
      </c>
      <c r="T425" s="8">
        <v>0.47423462391285509</v>
      </c>
      <c r="U425" s="7">
        <v>124.64567804436871</v>
      </c>
    </row>
    <row r="426" spans="1:21" x14ac:dyDescent="0.3">
      <c r="A426" s="4">
        <v>38838</v>
      </c>
      <c r="B426" s="13">
        <f t="shared" si="9"/>
        <v>44.024081199999998</v>
      </c>
      <c r="C426" s="12">
        <v>21.736368566052999</v>
      </c>
      <c r="D426" s="5">
        <f t="shared" si="10"/>
        <v>5</v>
      </c>
      <c r="Q426" s="4">
        <v>38838</v>
      </c>
      <c r="R426" s="7">
        <v>36.934392133250448</v>
      </c>
      <c r="S426" s="7">
        <v>44.663862224875132</v>
      </c>
      <c r="T426" s="8">
        <v>0.13420107628245559</v>
      </c>
      <c r="U426" s="7">
        <v>44.534511630445031</v>
      </c>
    </row>
    <row r="427" spans="1:21" x14ac:dyDescent="0.3">
      <c r="A427" s="4">
        <v>38869</v>
      </c>
      <c r="B427" s="13">
        <f t="shared" si="9"/>
        <v>185.5295696</v>
      </c>
      <c r="C427" s="12">
        <v>82.607314456254343</v>
      </c>
      <c r="D427" s="5">
        <f t="shared" si="10"/>
        <v>6</v>
      </c>
      <c r="Q427" s="4">
        <v>38869</v>
      </c>
      <c r="R427" s="7">
        <v>83.695744852637944</v>
      </c>
      <c r="S427" s="7">
        <v>65.874494718957877</v>
      </c>
      <c r="T427" s="8">
        <v>0.9105098754613441</v>
      </c>
      <c r="U427" s="7">
        <v>63.973448187117476</v>
      </c>
    </row>
    <row r="428" spans="1:21" x14ac:dyDescent="0.3">
      <c r="A428" s="4">
        <v>38899</v>
      </c>
      <c r="B428" s="13">
        <f t="shared" si="9"/>
        <v>321.62831490000002</v>
      </c>
      <c r="C428" s="12">
        <v>2.4307457691975283</v>
      </c>
      <c r="D428" s="5">
        <f t="shared" si="10"/>
        <v>7</v>
      </c>
      <c r="Q428" s="4">
        <v>38899</v>
      </c>
      <c r="R428" s="7">
        <v>8.7961077823715623</v>
      </c>
      <c r="S428" s="7">
        <v>13.265420348118967</v>
      </c>
      <c r="T428" s="8">
        <v>0.38224056087673658</v>
      </c>
      <c r="U428" s="7">
        <v>14.58751002430459</v>
      </c>
    </row>
    <row r="429" spans="1:21" x14ac:dyDescent="0.3">
      <c r="A429" s="4">
        <v>38930</v>
      </c>
      <c r="B429" s="13">
        <f t="shared" si="9"/>
        <v>165.91360760000001</v>
      </c>
      <c r="C429" s="12">
        <v>3.3729212507710635E-10</v>
      </c>
      <c r="D429" s="5">
        <f t="shared" si="10"/>
        <v>8</v>
      </c>
      <c r="Q429" s="4">
        <v>38930</v>
      </c>
      <c r="R429" s="7">
        <v>1.8344715566687058E-9</v>
      </c>
      <c r="S429" s="7">
        <v>5.6114077371097679E-2</v>
      </c>
      <c r="T429" s="8">
        <v>2.6709708704913934E-6</v>
      </c>
      <c r="U429" s="7">
        <v>2.5312214402095697E-2</v>
      </c>
    </row>
    <row r="430" spans="1:21" x14ac:dyDescent="0.3">
      <c r="A430" s="4">
        <v>38961</v>
      </c>
      <c r="B430" s="13">
        <f t="shared" si="9"/>
        <v>36.387569599999999</v>
      </c>
      <c r="C430" s="12">
        <v>76.398339006118491</v>
      </c>
      <c r="D430" s="5">
        <f t="shared" si="10"/>
        <v>9</v>
      </c>
      <c r="Q430" s="4">
        <v>38961</v>
      </c>
      <c r="R430" s="7">
        <v>255.99828623756906</v>
      </c>
      <c r="S430" s="7">
        <v>170.8605973413286</v>
      </c>
      <c r="T430" s="8">
        <v>0.97504144113420255</v>
      </c>
      <c r="U430" s="7">
        <v>177.70669582495259</v>
      </c>
    </row>
    <row r="431" spans="1:21" x14ac:dyDescent="0.3">
      <c r="A431" s="4">
        <v>38991</v>
      </c>
      <c r="B431" s="13">
        <f t="shared" si="9"/>
        <v>32.725071300000003</v>
      </c>
      <c r="C431" s="12">
        <v>38.382510642986695</v>
      </c>
      <c r="D431" s="5">
        <f t="shared" si="10"/>
        <v>10</v>
      </c>
      <c r="Q431" s="4">
        <v>38991</v>
      </c>
      <c r="R431" s="7">
        <v>94.206716011027254</v>
      </c>
      <c r="S431" s="7">
        <v>133.16900185555338</v>
      </c>
      <c r="T431" s="8">
        <v>0.3892443877953855</v>
      </c>
      <c r="U431" s="7">
        <v>132.04240243529259</v>
      </c>
    </row>
    <row r="432" spans="1:21" x14ac:dyDescent="0.3">
      <c r="A432" s="4">
        <v>39022</v>
      </c>
      <c r="B432" s="13">
        <f t="shared" si="9"/>
        <v>184.34088729999999</v>
      </c>
      <c r="C432" s="12">
        <v>8.2921676294063129</v>
      </c>
      <c r="D432" s="5">
        <f t="shared" si="10"/>
        <v>11</v>
      </c>
      <c r="Q432" s="4">
        <v>39022</v>
      </c>
      <c r="R432" s="7">
        <v>17.971822944867753</v>
      </c>
      <c r="S432" s="7">
        <v>49.926819647508104</v>
      </c>
      <c r="T432" s="8">
        <v>3.374540607722817E-3</v>
      </c>
      <c r="U432" s="7">
        <v>55.183084816776159</v>
      </c>
    </row>
    <row r="433" spans="1:21" x14ac:dyDescent="0.3">
      <c r="A433" s="4">
        <v>39052</v>
      </c>
      <c r="B433" s="13">
        <f t="shared" si="9"/>
        <v>103.199764</v>
      </c>
      <c r="C433" s="12">
        <v>29.461866748169943</v>
      </c>
      <c r="D433" s="5">
        <f t="shared" si="10"/>
        <v>12</v>
      </c>
      <c r="Q433" s="4">
        <v>39052</v>
      </c>
      <c r="R433" s="7">
        <v>62.156727541801182</v>
      </c>
      <c r="S433" s="7">
        <v>77.928178345416285</v>
      </c>
      <c r="T433" s="8">
        <v>1.9798006054880701E-2</v>
      </c>
      <c r="U433" s="7">
        <v>77.798918542050032</v>
      </c>
    </row>
    <row r="434" spans="1:21" x14ac:dyDescent="0.3">
      <c r="A434" s="4">
        <v>39083</v>
      </c>
      <c r="B434" s="13">
        <f t="shared" si="9"/>
        <v>72.381086999999994</v>
      </c>
      <c r="C434" s="12">
        <v>80.521192133892342</v>
      </c>
      <c r="D434" s="5">
        <f t="shared" si="10"/>
        <v>1</v>
      </c>
      <c r="Q434" s="4">
        <v>39083</v>
      </c>
      <c r="R434" s="7">
        <v>110.71885449153591</v>
      </c>
      <c r="S434" s="7">
        <v>93.998086968186641</v>
      </c>
      <c r="T434" s="8">
        <v>0.26621575118409985</v>
      </c>
      <c r="U434" s="7">
        <v>94.053173880766138</v>
      </c>
    </row>
    <row r="435" spans="1:21" x14ac:dyDescent="0.3">
      <c r="A435" s="4">
        <v>39114</v>
      </c>
      <c r="B435" s="13">
        <f t="shared" si="9"/>
        <v>77.566617100000002</v>
      </c>
      <c r="C435" s="12">
        <v>64.431620319373806</v>
      </c>
      <c r="D435" s="5">
        <f t="shared" si="10"/>
        <v>2</v>
      </c>
      <c r="Q435" s="4">
        <v>39114</v>
      </c>
      <c r="R435" s="7">
        <v>125.91356982710077</v>
      </c>
      <c r="S435" s="7">
        <v>142.58848338488005</v>
      </c>
      <c r="T435" s="8">
        <v>0.29727975355773512</v>
      </c>
      <c r="U435" s="7">
        <v>142.10093944684189</v>
      </c>
    </row>
    <row r="436" spans="1:21" x14ac:dyDescent="0.3">
      <c r="A436" s="4">
        <v>39142</v>
      </c>
      <c r="B436" s="13">
        <f t="shared" si="9"/>
        <v>59.071693099999997</v>
      </c>
      <c r="C436" s="12">
        <v>53.065838670590814</v>
      </c>
      <c r="D436" s="5">
        <f t="shared" si="10"/>
        <v>3</v>
      </c>
      <c r="Q436" s="4">
        <v>39142</v>
      </c>
      <c r="R436" s="7">
        <v>113.07968462384299</v>
      </c>
      <c r="S436" s="7">
        <v>116.65105257813524</v>
      </c>
      <c r="T436" s="8">
        <v>0.36450582171148344</v>
      </c>
      <c r="U436" s="7">
        <v>116.41990675928841</v>
      </c>
    </row>
    <row r="437" spans="1:21" x14ac:dyDescent="0.3">
      <c r="A437" s="4">
        <v>39173</v>
      </c>
      <c r="B437" s="13">
        <f t="shared" si="9"/>
        <v>24.494136900000001</v>
      </c>
      <c r="C437" s="12">
        <v>131.93184323608887</v>
      </c>
      <c r="D437" s="5">
        <f t="shared" si="10"/>
        <v>4</v>
      </c>
      <c r="Q437" s="4">
        <v>39173</v>
      </c>
      <c r="R437" s="7">
        <v>248.45559830453942</v>
      </c>
      <c r="S437" s="7">
        <v>263.55627705478361</v>
      </c>
      <c r="T437" s="8">
        <v>0.93470409281324729</v>
      </c>
      <c r="U437" s="7">
        <v>262.27309440507764</v>
      </c>
    </row>
    <row r="438" spans="1:21" x14ac:dyDescent="0.3">
      <c r="A438" s="4">
        <v>39203</v>
      </c>
      <c r="B438" s="13">
        <f t="shared" si="9"/>
        <v>94.513683099999994</v>
      </c>
      <c r="C438" s="12">
        <v>86.907628714107034</v>
      </c>
      <c r="D438" s="5">
        <f t="shared" si="10"/>
        <v>5</v>
      </c>
      <c r="Q438" s="4">
        <v>39203</v>
      </c>
      <c r="R438" s="7">
        <v>147.67326145319552</v>
      </c>
      <c r="S438" s="7">
        <v>144.40008006669689</v>
      </c>
      <c r="T438" s="8">
        <v>0.77263713488096109</v>
      </c>
      <c r="U438" s="7">
        <v>143.68832156229942</v>
      </c>
    </row>
    <row r="439" spans="1:21" x14ac:dyDescent="0.3">
      <c r="A439" s="4">
        <v>39234</v>
      </c>
      <c r="B439" s="13">
        <f t="shared" si="9"/>
        <v>30.669225600000001</v>
      </c>
      <c r="C439" s="12">
        <v>1.3549087451991684E-3</v>
      </c>
      <c r="D439" s="5">
        <f t="shared" si="10"/>
        <v>6</v>
      </c>
      <c r="Q439" s="4">
        <v>39234</v>
      </c>
      <c r="R439" s="7">
        <v>1.3727609641256376E-3</v>
      </c>
      <c r="S439" s="7">
        <v>6.9047844306122041E-2</v>
      </c>
      <c r="T439" s="8">
        <v>1.9190028142930706E-3</v>
      </c>
      <c r="U439" s="7">
        <v>0.57645786702240887</v>
      </c>
    </row>
    <row r="440" spans="1:21" x14ac:dyDescent="0.3">
      <c r="A440" s="4">
        <v>39264</v>
      </c>
      <c r="B440" s="13">
        <f t="shared" si="9"/>
        <v>154.65396000000001</v>
      </c>
      <c r="C440" s="12">
        <v>9.5536668470686079E-2</v>
      </c>
      <c r="D440" s="5">
        <f t="shared" si="10"/>
        <v>7</v>
      </c>
      <c r="Q440" s="4">
        <v>39264</v>
      </c>
      <c r="R440" s="7">
        <v>0.34571728713294519</v>
      </c>
      <c r="S440" s="7">
        <v>1.2720768262257172</v>
      </c>
      <c r="T440" s="8">
        <v>5.0717207381586873E-2</v>
      </c>
      <c r="U440" s="7">
        <v>2.4589178531177525</v>
      </c>
    </row>
    <row r="441" spans="1:21" x14ac:dyDescent="0.3">
      <c r="A441" s="4">
        <v>39295</v>
      </c>
      <c r="B441" s="13">
        <f t="shared" si="9"/>
        <v>158.86136239999999</v>
      </c>
      <c r="C441" s="12">
        <v>2.4677431758846079E-2</v>
      </c>
      <c r="D441" s="5">
        <f t="shared" si="10"/>
        <v>8</v>
      </c>
      <c r="Q441" s="4">
        <v>39295</v>
      </c>
      <c r="R441" s="7">
        <v>0.13421613873400456</v>
      </c>
      <c r="S441" s="7">
        <v>9.6958470359329905</v>
      </c>
      <c r="T441" s="8">
        <v>4.2676454421947667E-2</v>
      </c>
      <c r="U441" s="7">
        <v>4.8629622693059513</v>
      </c>
    </row>
    <row r="442" spans="1:21" x14ac:dyDescent="0.3">
      <c r="A442" s="4">
        <v>39326</v>
      </c>
      <c r="B442" s="13">
        <f t="shared" si="9"/>
        <v>167.54897070000001</v>
      </c>
      <c r="C442" s="12">
        <v>1.8310805589862873</v>
      </c>
      <c r="D442" s="5">
        <f t="shared" si="10"/>
        <v>9</v>
      </c>
      <c r="Q442" s="4">
        <v>39326</v>
      </c>
      <c r="R442" s="7">
        <v>6.1356502138859144</v>
      </c>
      <c r="S442" s="7">
        <v>16.962144669478445</v>
      </c>
      <c r="T442" s="8">
        <v>0.17177960284544427</v>
      </c>
      <c r="U442" s="7">
        <v>18.985075888752114</v>
      </c>
    </row>
    <row r="443" spans="1:21" x14ac:dyDescent="0.3">
      <c r="A443" s="4">
        <v>39356</v>
      </c>
      <c r="B443" s="13">
        <f t="shared" si="9"/>
        <v>98.888573500000007</v>
      </c>
      <c r="C443" s="12">
        <v>67.991742643062054</v>
      </c>
      <c r="D443" s="5">
        <f t="shared" si="10"/>
        <v>10</v>
      </c>
      <c r="Q443" s="4">
        <v>39356</v>
      </c>
      <c r="R443" s="7">
        <v>166.88014105820824</v>
      </c>
      <c r="S443" s="7">
        <v>185.09685870697888</v>
      </c>
      <c r="T443" s="8">
        <v>0.6101334208896797</v>
      </c>
      <c r="U443" s="7">
        <v>180.37006706568275</v>
      </c>
    </row>
    <row r="444" spans="1:21" x14ac:dyDescent="0.3">
      <c r="A444" s="4">
        <v>39387</v>
      </c>
      <c r="B444" s="13">
        <f t="shared" si="9"/>
        <v>216.11872360000001</v>
      </c>
      <c r="C444" s="12">
        <v>101.14109481219207</v>
      </c>
      <c r="D444" s="5">
        <f t="shared" si="10"/>
        <v>11</v>
      </c>
      <c r="Q444" s="4">
        <v>39387</v>
      </c>
      <c r="R444" s="7">
        <v>219.20563230882706</v>
      </c>
      <c r="S444" s="7">
        <v>224.01858603472363</v>
      </c>
      <c r="T444" s="8">
        <v>0.61739666443511221</v>
      </c>
      <c r="U444" s="7">
        <v>220.55713790020437</v>
      </c>
    </row>
    <row r="445" spans="1:21" x14ac:dyDescent="0.3">
      <c r="A445" s="4">
        <v>39417</v>
      </c>
      <c r="B445" s="13">
        <f t="shared" si="9"/>
        <v>115.6374318</v>
      </c>
      <c r="C445" s="12">
        <v>151.61072557093584</v>
      </c>
      <c r="D445" s="5">
        <f t="shared" si="10"/>
        <v>12</v>
      </c>
      <c r="Q445" s="4">
        <v>39417</v>
      </c>
      <c r="R445" s="7">
        <v>319.85843403194428</v>
      </c>
      <c r="S445" s="7">
        <v>309.05158012644335</v>
      </c>
      <c r="T445" s="8">
        <v>0.80470273581369911</v>
      </c>
      <c r="U445" s="7">
        <v>309.36829860333989</v>
      </c>
    </row>
    <row r="446" spans="1:21" x14ac:dyDescent="0.3">
      <c r="A446" s="4">
        <v>39448</v>
      </c>
      <c r="B446" s="13">
        <f t="shared" si="9"/>
        <v>135.638418</v>
      </c>
      <c r="C446" s="12">
        <v>281.20607882738</v>
      </c>
      <c r="D446" s="5">
        <f t="shared" si="10"/>
        <v>1</v>
      </c>
      <c r="Q446" s="4">
        <v>39448</v>
      </c>
      <c r="R446" s="7">
        <v>386.66609495860956</v>
      </c>
      <c r="S446" s="7">
        <v>489.07914051367356</v>
      </c>
      <c r="T446" s="8">
        <v>0.99033392355116445</v>
      </c>
      <c r="U446" s="7">
        <v>472.84719557234786</v>
      </c>
    </row>
    <row r="447" spans="1:21" x14ac:dyDescent="0.3">
      <c r="A447" s="4">
        <v>39479</v>
      </c>
      <c r="B447" s="13">
        <f t="shared" si="9"/>
        <v>70.1243257</v>
      </c>
      <c r="C447" s="12">
        <v>177.13647633790978</v>
      </c>
      <c r="D447" s="5">
        <f t="shared" si="10"/>
        <v>2</v>
      </c>
      <c r="Q447" s="4">
        <v>39479</v>
      </c>
      <c r="R447" s="7">
        <v>346.16366889028052</v>
      </c>
      <c r="S447" s="7">
        <v>312.07069809522062</v>
      </c>
      <c r="T447" s="8">
        <v>0.90596578850817189</v>
      </c>
      <c r="U447" s="7">
        <v>312.78304478103115</v>
      </c>
    </row>
    <row r="448" spans="1:21" x14ac:dyDescent="0.3">
      <c r="A448" s="4">
        <v>39508</v>
      </c>
      <c r="B448" s="13">
        <f t="shared" ref="B448:B511" si="11">B67</f>
        <v>34.284922799999997</v>
      </c>
      <c r="C448" s="12">
        <v>133.53757532313458</v>
      </c>
      <c r="D448" s="5">
        <f t="shared" si="10"/>
        <v>3</v>
      </c>
      <c r="Q448" s="4">
        <v>39508</v>
      </c>
      <c r="R448" s="7">
        <v>284.55946954328266</v>
      </c>
      <c r="S448" s="7">
        <v>273.52178860969548</v>
      </c>
      <c r="T448" s="8">
        <v>0.93696452666900387</v>
      </c>
      <c r="U448" s="7">
        <v>274.06266253890198</v>
      </c>
    </row>
    <row r="449" spans="1:21" x14ac:dyDescent="0.3">
      <c r="A449" s="4">
        <v>39539</v>
      </c>
      <c r="B449" s="13">
        <f t="shared" si="11"/>
        <v>47.185914199999999</v>
      </c>
      <c r="C449" s="12">
        <v>118.79907839465899</v>
      </c>
      <c r="D449" s="5">
        <f t="shared" si="10"/>
        <v>4</v>
      </c>
      <c r="Q449" s="4">
        <v>39539</v>
      </c>
      <c r="R449" s="7">
        <v>223.72382115327667</v>
      </c>
      <c r="S449" s="7">
        <v>234.07885102807592</v>
      </c>
      <c r="T449" s="8">
        <v>0.89232561409438715</v>
      </c>
      <c r="U449" s="7">
        <v>233.64595790674562</v>
      </c>
    </row>
    <row r="450" spans="1:21" x14ac:dyDescent="0.3">
      <c r="A450" s="4">
        <v>39569</v>
      </c>
      <c r="B450" s="13">
        <f t="shared" si="11"/>
        <v>24.617494700000002</v>
      </c>
      <c r="C450" s="12">
        <v>32.42354413087002</v>
      </c>
      <c r="D450" s="5">
        <f t="shared" si="10"/>
        <v>5</v>
      </c>
      <c r="Q450" s="4">
        <v>39569</v>
      </c>
      <c r="R450" s="7">
        <v>55.09401856341271</v>
      </c>
      <c r="S450" s="7">
        <v>62.662491742728506</v>
      </c>
      <c r="T450" s="8">
        <v>0.25792036368369542</v>
      </c>
      <c r="U450" s="7">
        <v>61.995978133574326</v>
      </c>
    </row>
    <row r="451" spans="1:21" x14ac:dyDescent="0.3">
      <c r="A451" s="4">
        <v>39600</v>
      </c>
      <c r="B451" s="13">
        <f t="shared" si="11"/>
        <v>22.664901700000001</v>
      </c>
      <c r="C451" s="12">
        <v>0</v>
      </c>
      <c r="D451" s="5">
        <f t="shared" ref="D451:D514" si="12">MONTH(A451)</f>
        <v>6</v>
      </c>
      <c r="Q451" s="4">
        <v>39600</v>
      </c>
      <c r="R451" s="7">
        <v>0</v>
      </c>
      <c r="S451" s="7">
        <v>0</v>
      </c>
      <c r="T451" s="8">
        <v>0</v>
      </c>
      <c r="U451" s="7">
        <v>0</v>
      </c>
    </row>
    <row r="452" spans="1:21" x14ac:dyDescent="0.3">
      <c r="A452" s="4">
        <v>39630</v>
      </c>
      <c r="B452" s="13">
        <f t="shared" si="11"/>
        <v>175.37051400000001</v>
      </c>
      <c r="C452" s="12">
        <v>8.8553489935293328</v>
      </c>
      <c r="D452" s="5">
        <f t="shared" si="12"/>
        <v>7</v>
      </c>
      <c r="Q452" s="4">
        <v>39630</v>
      </c>
      <c r="R452" s="7">
        <v>32.044735070469564</v>
      </c>
      <c r="S452" s="7">
        <v>33.841713979286531</v>
      </c>
      <c r="T452" s="8">
        <v>0.72201402354211774</v>
      </c>
      <c r="U452" s="7">
        <v>33.351027975942451</v>
      </c>
    </row>
    <row r="453" spans="1:21" x14ac:dyDescent="0.3">
      <c r="A453" s="4">
        <v>39661</v>
      </c>
      <c r="B453" s="13">
        <f t="shared" si="11"/>
        <v>162.70918889999999</v>
      </c>
      <c r="C453" s="12">
        <v>1.5548827574093584</v>
      </c>
      <c r="D453" s="5">
        <f t="shared" si="12"/>
        <v>8</v>
      </c>
      <c r="Q453" s="4">
        <v>39661</v>
      </c>
      <c r="R453" s="7">
        <v>8.4567292870238457</v>
      </c>
      <c r="S453" s="7">
        <v>31.516820119938036</v>
      </c>
      <c r="T453" s="8">
        <v>0.37310744855142025</v>
      </c>
      <c r="U453" s="7">
        <v>20.774524728429164</v>
      </c>
    </row>
    <row r="454" spans="1:21" x14ac:dyDescent="0.3">
      <c r="A454" s="4">
        <v>39692</v>
      </c>
      <c r="B454" s="13">
        <f t="shared" si="11"/>
        <v>347.3191324</v>
      </c>
      <c r="C454" s="12">
        <v>30.184486153302643</v>
      </c>
      <c r="D454" s="5">
        <f t="shared" si="12"/>
        <v>9</v>
      </c>
      <c r="Q454" s="4">
        <v>39692</v>
      </c>
      <c r="R454" s="7">
        <v>101.14325555675059</v>
      </c>
      <c r="S454" s="7">
        <v>96.152874657375932</v>
      </c>
      <c r="T454" s="8">
        <v>0.81047267388007005</v>
      </c>
      <c r="U454" s="7">
        <v>92.941066525028091</v>
      </c>
    </row>
    <row r="455" spans="1:21" x14ac:dyDescent="0.3">
      <c r="A455" s="4">
        <v>39722</v>
      </c>
      <c r="B455" s="13">
        <f t="shared" si="11"/>
        <v>106.89417779999999</v>
      </c>
      <c r="C455" s="12">
        <v>123.19469049107278</v>
      </c>
      <c r="D455" s="5">
        <f t="shared" si="12"/>
        <v>10</v>
      </c>
      <c r="Q455" s="4">
        <v>39722</v>
      </c>
      <c r="R455" s="7">
        <v>302.37123697064652</v>
      </c>
      <c r="S455" s="7">
        <v>260.64281168058346</v>
      </c>
      <c r="T455" s="8">
        <v>0.83807412646842694</v>
      </c>
      <c r="U455" s="7">
        <v>256.33172820575362</v>
      </c>
    </row>
    <row r="456" spans="1:21" x14ac:dyDescent="0.3">
      <c r="A456" s="4">
        <v>39753</v>
      </c>
      <c r="B456" s="13">
        <f t="shared" si="11"/>
        <v>62.369472000000002</v>
      </c>
      <c r="C456" s="12">
        <v>144.91334720514712</v>
      </c>
      <c r="D456" s="5">
        <f t="shared" si="12"/>
        <v>11</v>
      </c>
      <c r="Q456" s="4">
        <v>39753</v>
      </c>
      <c r="R456" s="7">
        <v>314.07433311927781</v>
      </c>
      <c r="S456" s="7">
        <v>277.98441307674358</v>
      </c>
      <c r="T456" s="8">
        <v>0.82800545313243834</v>
      </c>
      <c r="U456" s="7">
        <v>278.38096430509341</v>
      </c>
    </row>
    <row r="457" spans="1:21" x14ac:dyDescent="0.3">
      <c r="A457" s="4">
        <v>39783</v>
      </c>
      <c r="B457" s="13">
        <f t="shared" si="11"/>
        <v>39.724762900000002</v>
      </c>
      <c r="C457" s="12">
        <v>18.158294209570151</v>
      </c>
      <c r="D457" s="5">
        <f t="shared" si="12"/>
        <v>12</v>
      </c>
      <c r="Q457" s="4">
        <v>39783</v>
      </c>
      <c r="R457" s="7">
        <v>38.309186429207713</v>
      </c>
      <c r="S457" s="7">
        <v>51.871831236282354</v>
      </c>
      <c r="T457" s="8">
        <v>3.5500397144276863E-3</v>
      </c>
      <c r="U457" s="7">
        <v>52.638274469110236</v>
      </c>
    </row>
    <row r="458" spans="1:21" x14ac:dyDescent="0.3">
      <c r="A458" s="4">
        <v>39814</v>
      </c>
      <c r="B458" s="13">
        <f t="shared" si="11"/>
        <v>96.907734899999994</v>
      </c>
      <c r="C458" s="12">
        <v>153.12860106350857</v>
      </c>
      <c r="D458" s="5">
        <f t="shared" si="12"/>
        <v>1</v>
      </c>
      <c r="Q458" s="4">
        <v>39814</v>
      </c>
      <c r="R458" s="7">
        <v>210.55603935236348</v>
      </c>
      <c r="S458" s="7">
        <v>219.41043692472357</v>
      </c>
      <c r="T458" s="8">
        <v>0.76984399545664295</v>
      </c>
      <c r="U458" s="7">
        <v>221.34297657097201</v>
      </c>
    </row>
    <row r="459" spans="1:21" x14ac:dyDescent="0.3">
      <c r="A459" s="4">
        <v>39845</v>
      </c>
      <c r="B459" s="13">
        <f t="shared" si="11"/>
        <v>30.484929999999999</v>
      </c>
      <c r="C459" s="12">
        <v>41.319692647084615</v>
      </c>
      <c r="D459" s="5">
        <f t="shared" si="12"/>
        <v>2</v>
      </c>
      <c r="Q459" s="4">
        <v>39845</v>
      </c>
      <c r="R459" s="7">
        <v>80.747775386748103</v>
      </c>
      <c r="S459" s="7">
        <v>101.07653858876485</v>
      </c>
      <c r="T459" s="8">
        <v>0.12025172245682396</v>
      </c>
      <c r="U459" s="7">
        <v>102.26915281803863</v>
      </c>
    </row>
    <row r="460" spans="1:21" x14ac:dyDescent="0.3">
      <c r="A460" s="4">
        <v>39873</v>
      </c>
      <c r="B460" s="13">
        <f t="shared" si="11"/>
        <v>23.397945700000001</v>
      </c>
      <c r="C460" s="12">
        <v>77.921337308362112</v>
      </c>
      <c r="D460" s="5">
        <f t="shared" si="12"/>
        <v>3</v>
      </c>
      <c r="Q460" s="4">
        <v>39873</v>
      </c>
      <c r="R460" s="7">
        <v>166.04505778179529</v>
      </c>
      <c r="S460" s="7">
        <v>166.32453156968086</v>
      </c>
      <c r="T460" s="8">
        <v>0.64189509689760982</v>
      </c>
      <c r="U460" s="7">
        <v>165.87084868725859</v>
      </c>
    </row>
    <row r="461" spans="1:21" x14ac:dyDescent="0.3">
      <c r="A461" s="4">
        <v>39904</v>
      </c>
      <c r="B461" s="13">
        <f t="shared" si="11"/>
        <v>8.1107171999999998</v>
      </c>
      <c r="C461" s="12">
        <v>87.574293022044131</v>
      </c>
      <c r="D461" s="5">
        <f t="shared" si="12"/>
        <v>4</v>
      </c>
      <c r="Q461" s="4">
        <v>39904</v>
      </c>
      <c r="R461" s="7">
        <v>164.92093822984819</v>
      </c>
      <c r="S461" s="7">
        <v>165.78659452770819</v>
      </c>
      <c r="T461" s="8">
        <v>0.69181128513079626</v>
      </c>
      <c r="U461" s="7">
        <v>166.47881508996801</v>
      </c>
    </row>
    <row r="462" spans="1:21" x14ac:dyDescent="0.3">
      <c r="A462" s="4">
        <v>39934</v>
      </c>
      <c r="B462" s="13">
        <f t="shared" si="11"/>
        <v>23.8790099</v>
      </c>
      <c r="C462" s="12">
        <v>21.959588129539053</v>
      </c>
      <c r="D462" s="5">
        <f t="shared" si="12"/>
        <v>5</v>
      </c>
      <c r="Q462" s="4">
        <v>39934</v>
      </c>
      <c r="R462" s="7">
        <v>37.313686349970844</v>
      </c>
      <c r="S462" s="7">
        <v>45.051920094675403</v>
      </c>
      <c r="T462" s="8">
        <v>0.13660573222277658</v>
      </c>
      <c r="U462" s="7">
        <v>44.909536975386182</v>
      </c>
    </row>
    <row r="463" spans="1:21" x14ac:dyDescent="0.3">
      <c r="A463" s="4">
        <v>39965</v>
      </c>
      <c r="B463" s="13">
        <f t="shared" si="11"/>
        <v>96.903258100000002</v>
      </c>
      <c r="C463" s="12">
        <v>1.4606768909288796</v>
      </c>
      <c r="D463" s="5">
        <f t="shared" si="12"/>
        <v>6</v>
      </c>
      <c r="Q463" s="4">
        <v>39965</v>
      </c>
      <c r="R463" s="7">
        <v>1.479922706361168</v>
      </c>
      <c r="S463" s="7">
        <v>5.3395129901426399</v>
      </c>
      <c r="T463" s="8">
        <v>0.13068341305811967</v>
      </c>
      <c r="U463" s="7">
        <v>8.1916408699491416</v>
      </c>
    </row>
    <row r="464" spans="1:21" x14ac:dyDescent="0.3">
      <c r="A464" s="4">
        <v>39995</v>
      </c>
      <c r="B464" s="13">
        <f t="shared" si="11"/>
        <v>58.801873700000002</v>
      </c>
      <c r="C464" s="12">
        <v>1.1622102822911975</v>
      </c>
      <c r="D464" s="5">
        <f t="shared" si="12"/>
        <v>7</v>
      </c>
      <c r="Q464" s="4">
        <v>39995</v>
      </c>
      <c r="R464" s="7">
        <v>4.2056750806106669</v>
      </c>
      <c r="S464" s="7">
        <v>7.7728545072644692</v>
      </c>
      <c r="T464" s="8">
        <v>0.24730482455781624</v>
      </c>
      <c r="U464" s="7">
        <v>9.4592943600338568</v>
      </c>
    </row>
    <row r="465" spans="1:21" x14ac:dyDescent="0.3">
      <c r="A465" s="4">
        <v>40026</v>
      </c>
      <c r="B465" s="13">
        <f t="shared" si="11"/>
        <v>203.47559129999999</v>
      </c>
      <c r="C465" s="12">
        <v>2.2668371995493435E-3</v>
      </c>
      <c r="D465" s="5">
        <f t="shared" si="12"/>
        <v>8</v>
      </c>
      <c r="Q465" s="4">
        <v>40026</v>
      </c>
      <c r="R465" s="7">
        <v>1.2328922192361223E-2</v>
      </c>
      <c r="S465" s="7">
        <v>4.9156094330256046</v>
      </c>
      <c r="T465" s="8">
        <v>1.1918640323343605E-2</v>
      </c>
      <c r="U465" s="7">
        <v>2.3442306012002421</v>
      </c>
    </row>
    <row r="466" spans="1:21" x14ac:dyDescent="0.3">
      <c r="A466" s="4">
        <v>40057</v>
      </c>
      <c r="B466" s="13">
        <f t="shared" si="11"/>
        <v>231.0730748</v>
      </c>
      <c r="C466" s="12">
        <v>8.7856145210459033E-8</v>
      </c>
      <c r="D466" s="5">
        <f t="shared" si="12"/>
        <v>9</v>
      </c>
      <c r="Q466" s="4">
        <v>40057</v>
      </c>
      <c r="R466" s="7">
        <v>2.9439151298191565E-7</v>
      </c>
      <c r="S466" s="7">
        <v>4.9933355592521995E-4</v>
      </c>
      <c r="T466" s="8">
        <v>1.4305857510925472E-6</v>
      </c>
      <c r="U466" s="7">
        <v>1.279190609833661E-2</v>
      </c>
    </row>
    <row r="467" spans="1:21" x14ac:dyDescent="0.3">
      <c r="A467" s="4">
        <v>40087</v>
      </c>
      <c r="B467" s="13">
        <f t="shared" si="11"/>
        <v>250.06472930000001</v>
      </c>
      <c r="C467" s="12">
        <v>17.056781885912653</v>
      </c>
      <c r="D467" s="5">
        <f t="shared" si="12"/>
        <v>10</v>
      </c>
      <c r="Q467" s="4">
        <v>40087</v>
      </c>
      <c r="R467" s="7">
        <v>41.864468484992535</v>
      </c>
      <c r="S467" s="7">
        <v>83.477413221174743</v>
      </c>
      <c r="T467" s="8">
        <v>0.17540274525889935</v>
      </c>
      <c r="U467" s="7">
        <v>87.999814153607915</v>
      </c>
    </row>
    <row r="468" spans="1:21" x14ac:dyDescent="0.3">
      <c r="A468" s="4">
        <v>40118</v>
      </c>
      <c r="B468" s="13">
        <f t="shared" si="11"/>
        <v>177.1992899</v>
      </c>
      <c r="C468" s="12">
        <v>20.103596354601901</v>
      </c>
      <c r="D468" s="5">
        <f t="shared" si="12"/>
        <v>11</v>
      </c>
      <c r="Q468" s="4">
        <v>40118</v>
      </c>
      <c r="R468" s="7">
        <v>43.571028757152824</v>
      </c>
      <c r="S468" s="7">
        <v>84.950539852661691</v>
      </c>
      <c r="T468" s="8">
        <v>3.1544002402790726E-2</v>
      </c>
      <c r="U468" s="7">
        <v>86.71896565842593</v>
      </c>
    </row>
    <row r="469" spans="1:21" x14ac:dyDescent="0.3">
      <c r="A469" s="4">
        <v>40148</v>
      </c>
      <c r="B469" s="13">
        <f t="shared" si="11"/>
        <v>138.8733671</v>
      </c>
      <c r="C469" s="12">
        <v>90.685850149020567</v>
      </c>
      <c r="D469" s="5">
        <f t="shared" si="12"/>
        <v>12</v>
      </c>
      <c r="Q469" s="4">
        <v>40148</v>
      </c>
      <c r="R469" s="7">
        <v>191.3231000530343</v>
      </c>
      <c r="S469" s="7">
        <v>200.59995821977341</v>
      </c>
      <c r="T469" s="8">
        <v>0.41267301901613329</v>
      </c>
      <c r="U469" s="7">
        <v>198.49262446358756</v>
      </c>
    </row>
    <row r="470" spans="1:21" x14ac:dyDescent="0.3">
      <c r="A470" s="4">
        <v>40179</v>
      </c>
      <c r="B470" s="13">
        <f t="shared" si="11"/>
        <v>185.88511790000001</v>
      </c>
      <c r="C470" s="12">
        <v>125.58771022595472</v>
      </c>
      <c r="D470" s="5">
        <f t="shared" si="12"/>
        <v>1</v>
      </c>
      <c r="Q470" s="4">
        <v>40179</v>
      </c>
      <c r="R470" s="7">
        <v>172.68655674286651</v>
      </c>
      <c r="S470" s="7">
        <v>168.92595875946617</v>
      </c>
      <c r="T470" s="8">
        <v>0.61279060824554654</v>
      </c>
      <c r="U470" s="7">
        <v>171.02368364486625</v>
      </c>
    </row>
    <row r="471" spans="1:21" x14ac:dyDescent="0.3">
      <c r="A471" s="4">
        <v>40210</v>
      </c>
      <c r="B471" s="13">
        <f t="shared" si="11"/>
        <v>77.669840699999995</v>
      </c>
      <c r="C471" s="12">
        <v>37.771939812228169</v>
      </c>
      <c r="D471" s="5">
        <f t="shared" si="12"/>
        <v>2</v>
      </c>
      <c r="Q471" s="4">
        <v>40210</v>
      </c>
      <c r="R471" s="7">
        <v>73.814685359107244</v>
      </c>
      <c r="S471" s="7">
        <v>94.287518792064034</v>
      </c>
      <c r="T471" s="8">
        <v>9.7890880042689157E-2</v>
      </c>
      <c r="U471" s="7">
        <v>95.805856036599863</v>
      </c>
    </row>
    <row r="472" spans="1:21" x14ac:dyDescent="0.3">
      <c r="A472" s="4">
        <v>40238</v>
      </c>
      <c r="B472" s="13">
        <f t="shared" si="11"/>
        <v>20.655076399999999</v>
      </c>
      <c r="C472" s="12">
        <v>70.124481653328957</v>
      </c>
      <c r="D472" s="5">
        <f t="shared" si="12"/>
        <v>3</v>
      </c>
      <c r="Q472" s="4">
        <v>40238</v>
      </c>
      <c r="R472" s="7">
        <v>149.43048990505321</v>
      </c>
      <c r="S472" s="7">
        <v>150.89508779589679</v>
      </c>
      <c r="T472" s="8">
        <v>0.5634302722225748</v>
      </c>
      <c r="U472" s="7">
        <v>150.46363129423318</v>
      </c>
    </row>
    <row r="473" spans="1:21" x14ac:dyDescent="0.3">
      <c r="A473" s="4">
        <v>40269</v>
      </c>
      <c r="B473" s="13">
        <f t="shared" si="11"/>
        <v>10.198183999999999</v>
      </c>
      <c r="C473" s="12">
        <v>136.84959907550353</v>
      </c>
      <c r="D473" s="5">
        <f t="shared" si="12"/>
        <v>4</v>
      </c>
      <c r="Q473" s="4">
        <v>40269</v>
      </c>
      <c r="R473" s="7">
        <v>257.71677391936771</v>
      </c>
      <c r="S473" s="7">
        <v>274.6961825702997</v>
      </c>
      <c r="T473" s="8">
        <v>0.94624142479546758</v>
      </c>
      <c r="U473" s="7">
        <v>273.03890677386443</v>
      </c>
    </row>
    <row r="474" spans="1:21" x14ac:dyDescent="0.3">
      <c r="A474" s="4">
        <v>40299</v>
      </c>
      <c r="B474" s="13">
        <f t="shared" si="11"/>
        <v>4.3186388000000004</v>
      </c>
      <c r="C474" s="12">
        <v>41.057613218436096</v>
      </c>
      <c r="D474" s="5">
        <f t="shared" si="12"/>
        <v>5</v>
      </c>
      <c r="Q474" s="4">
        <v>40299</v>
      </c>
      <c r="R474" s="7">
        <v>69.765010749466157</v>
      </c>
      <c r="S474" s="7">
        <v>76.528594198957279</v>
      </c>
      <c r="T474" s="8">
        <v>0.3616884141903029</v>
      </c>
      <c r="U474" s="7">
        <v>75.564609586017141</v>
      </c>
    </row>
    <row r="475" spans="1:21" x14ac:dyDescent="0.3">
      <c r="A475" s="4">
        <v>40330</v>
      </c>
      <c r="B475" s="13">
        <f t="shared" si="11"/>
        <v>167.88822149999999</v>
      </c>
      <c r="C475" s="12">
        <v>16.325233475072299</v>
      </c>
      <c r="D475" s="5">
        <f t="shared" si="12"/>
        <v>6</v>
      </c>
      <c r="Q475" s="4">
        <v>40330</v>
      </c>
      <c r="R475" s="7">
        <v>16.540334044062924</v>
      </c>
      <c r="S475" s="7">
        <v>24.002421755058592</v>
      </c>
      <c r="T475" s="8">
        <v>0.50635760792749185</v>
      </c>
      <c r="U475" s="7">
        <v>25.000200998566736</v>
      </c>
    </row>
    <row r="476" spans="1:21" x14ac:dyDescent="0.3">
      <c r="A476" s="4">
        <v>40360</v>
      </c>
      <c r="B476" s="13">
        <f t="shared" si="11"/>
        <v>93.682577600000002</v>
      </c>
      <c r="C476" s="12">
        <v>6.3761585268366607</v>
      </c>
      <c r="D476" s="5">
        <f t="shared" si="12"/>
        <v>7</v>
      </c>
      <c r="Q476" s="4">
        <v>40360</v>
      </c>
      <c r="R476" s="7">
        <v>23.073321097688648</v>
      </c>
      <c r="S476" s="7">
        <v>26.675823478077582</v>
      </c>
      <c r="T476" s="8">
        <v>0.62886175451290882</v>
      </c>
      <c r="U476" s="7">
        <v>26.768457995305337</v>
      </c>
    </row>
    <row r="477" spans="1:21" x14ac:dyDescent="0.3">
      <c r="A477" s="4">
        <v>40391</v>
      </c>
      <c r="B477" s="13">
        <f t="shared" si="11"/>
        <v>92.523060000000001</v>
      </c>
      <c r="C477" s="12">
        <v>7.1326866026311039E-2</v>
      </c>
      <c r="D477" s="5">
        <f t="shared" si="12"/>
        <v>8</v>
      </c>
      <c r="Q477" s="4">
        <v>40391</v>
      </c>
      <c r="R477" s="7">
        <v>0.38793407027120735</v>
      </c>
      <c r="S477" s="7">
        <v>13.113967633125021</v>
      </c>
      <c r="T477" s="8">
        <v>7.5155961554749004E-2</v>
      </c>
      <c r="U477" s="7">
        <v>6.8317816183183382</v>
      </c>
    </row>
    <row r="478" spans="1:21" x14ac:dyDescent="0.3">
      <c r="A478" s="4">
        <v>40422</v>
      </c>
      <c r="B478" s="13">
        <f t="shared" si="11"/>
        <v>261.52475820000001</v>
      </c>
      <c r="C478" s="12">
        <v>2.8844579537690138</v>
      </c>
      <c r="D478" s="5">
        <f t="shared" si="12"/>
        <v>9</v>
      </c>
      <c r="Q478" s="4">
        <v>40422</v>
      </c>
      <c r="R478" s="7">
        <v>9.665344855600269</v>
      </c>
      <c r="S478" s="7">
        <v>22.473082147194575</v>
      </c>
      <c r="T478" s="8">
        <v>0.23175809918494722</v>
      </c>
      <c r="U478" s="7">
        <v>23.90620324949538</v>
      </c>
    </row>
    <row r="479" spans="1:21" x14ac:dyDescent="0.3">
      <c r="A479" s="4">
        <v>40452</v>
      </c>
      <c r="B479" s="13">
        <f t="shared" si="11"/>
        <v>324.18182860000002</v>
      </c>
      <c r="C479" s="12">
        <v>33.997206244384962</v>
      </c>
      <c r="D479" s="5">
        <f t="shared" si="12"/>
        <v>10</v>
      </c>
      <c r="Q479" s="4">
        <v>40452</v>
      </c>
      <c r="R479" s="7">
        <v>83.443346987472538</v>
      </c>
      <c r="S479" s="7">
        <v>124.18286839743088</v>
      </c>
      <c r="T479" s="8">
        <v>0.3488970182661309</v>
      </c>
      <c r="U479" s="7">
        <v>123.95118609377091</v>
      </c>
    </row>
    <row r="480" spans="1:21" x14ac:dyDescent="0.3">
      <c r="A480" s="4">
        <v>40483</v>
      </c>
      <c r="B480" s="13">
        <f t="shared" si="11"/>
        <v>308.90201089999999</v>
      </c>
      <c r="C480" s="12">
        <v>251.33808678947378</v>
      </c>
      <c r="D480" s="5">
        <f t="shared" si="12"/>
        <v>11</v>
      </c>
      <c r="Q480" s="4">
        <v>40483</v>
      </c>
      <c r="R480" s="7">
        <v>544.73134130377298</v>
      </c>
      <c r="S480" s="7">
        <v>386.85943655913809</v>
      </c>
      <c r="T480" s="8">
        <v>0.98281457844210562</v>
      </c>
      <c r="U480" s="7">
        <v>405.99930519779758</v>
      </c>
    </row>
    <row r="481" spans="1:21" x14ac:dyDescent="0.3">
      <c r="A481" s="4">
        <v>40513</v>
      </c>
      <c r="B481" s="13">
        <f t="shared" si="11"/>
        <v>113.0208131</v>
      </c>
      <c r="C481" s="12">
        <v>169.66694081202149</v>
      </c>
      <c r="D481" s="5">
        <f t="shared" si="12"/>
        <v>12</v>
      </c>
      <c r="Q481" s="4">
        <v>40513</v>
      </c>
      <c r="R481" s="7">
        <v>357.9522609020965</v>
      </c>
      <c r="S481" s="7">
        <v>339.72516232059883</v>
      </c>
      <c r="T481" s="8">
        <v>0.8689323131712029</v>
      </c>
      <c r="U481" s="7">
        <v>341.41571910291691</v>
      </c>
    </row>
    <row r="482" spans="1:21" x14ac:dyDescent="0.3">
      <c r="A482" s="4">
        <v>40544</v>
      </c>
      <c r="B482" s="13">
        <f t="shared" si="11"/>
        <v>246.16427759999999</v>
      </c>
      <c r="C482" s="12">
        <v>86.873515101615467</v>
      </c>
      <c r="D482" s="5">
        <f t="shared" si="12"/>
        <v>1</v>
      </c>
      <c r="Q482" s="4">
        <v>40544</v>
      </c>
      <c r="R482" s="7">
        <v>119.45347333792705</v>
      </c>
      <c r="S482" s="7">
        <v>103.89852625535212</v>
      </c>
      <c r="T482" s="8">
        <v>0.31641597378969605</v>
      </c>
      <c r="U482" s="7">
        <v>104.37369930664121</v>
      </c>
    </row>
    <row r="483" spans="1:21" x14ac:dyDescent="0.3">
      <c r="A483" s="4">
        <v>40575</v>
      </c>
      <c r="B483" s="13">
        <f t="shared" si="11"/>
        <v>211.8117077</v>
      </c>
      <c r="C483" s="12">
        <v>41.906424402259368</v>
      </c>
      <c r="D483" s="5">
        <f t="shared" si="12"/>
        <v>2</v>
      </c>
      <c r="Q483" s="4">
        <v>40575</v>
      </c>
      <c r="R483" s="7">
        <v>81.894378397176496</v>
      </c>
      <c r="S483" s="7">
        <v>102.18638781522776</v>
      </c>
      <c r="T483" s="8">
        <v>0.12412373221490766</v>
      </c>
      <c r="U483" s="7">
        <v>103.32678820732731</v>
      </c>
    </row>
    <row r="484" spans="1:21" x14ac:dyDescent="0.3">
      <c r="A484" s="4">
        <v>40603</v>
      </c>
      <c r="B484" s="13">
        <f t="shared" si="11"/>
        <v>31.2156746</v>
      </c>
      <c r="C484" s="12">
        <v>37.481669135741022</v>
      </c>
      <c r="D484" s="5">
        <f t="shared" si="12"/>
        <v>3</v>
      </c>
      <c r="Q484" s="4">
        <v>40603</v>
      </c>
      <c r="R484" s="7">
        <v>79.870881742867141</v>
      </c>
      <c r="S484" s="7">
        <v>84.616123437584008</v>
      </c>
      <c r="T484" s="8">
        <v>0.17917457275467261</v>
      </c>
      <c r="U484" s="7">
        <v>84.747552748274671</v>
      </c>
    </row>
    <row r="485" spans="1:21" x14ac:dyDescent="0.3">
      <c r="A485" s="4">
        <v>40634</v>
      </c>
      <c r="B485" s="13">
        <f t="shared" si="11"/>
        <v>64.799835000000002</v>
      </c>
      <c r="C485" s="12">
        <v>134.69071104191241</v>
      </c>
      <c r="D485" s="5">
        <f t="shared" si="12"/>
        <v>4</v>
      </c>
      <c r="Q485" s="4">
        <v>40634</v>
      </c>
      <c r="R485" s="7">
        <v>253.65113059246789</v>
      </c>
      <c r="S485" s="7">
        <v>269.79919724072943</v>
      </c>
      <c r="T485" s="8">
        <v>0.94142521255377987</v>
      </c>
      <c r="U485" s="7">
        <v>268.30984044599842</v>
      </c>
    </row>
    <row r="486" spans="1:21" x14ac:dyDescent="0.3">
      <c r="A486" s="4">
        <v>40664</v>
      </c>
      <c r="B486" s="13">
        <f t="shared" si="11"/>
        <v>23.737748400000001</v>
      </c>
      <c r="C486" s="12">
        <v>87.576181464828665</v>
      </c>
      <c r="D486" s="5">
        <f t="shared" si="12"/>
        <v>5</v>
      </c>
      <c r="Q486" s="4">
        <v>40664</v>
      </c>
      <c r="R486" s="7">
        <v>148.80926489286301</v>
      </c>
      <c r="S486" s="7">
        <v>145.34007477443208</v>
      </c>
      <c r="T486" s="8">
        <v>0.7764675301736762</v>
      </c>
      <c r="U486" s="7">
        <v>144.65171386182357</v>
      </c>
    </row>
    <row r="487" spans="1:21" x14ac:dyDescent="0.3">
      <c r="A487" s="4">
        <v>40695</v>
      </c>
      <c r="B487" s="13">
        <f t="shared" si="11"/>
        <v>30.0098235</v>
      </c>
      <c r="C487" s="12">
        <v>36.424548772629443</v>
      </c>
      <c r="D487" s="5">
        <f t="shared" si="12"/>
        <v>6</v>
      </c>
      <c r="Q487" s="4">
        <v>40695</v>
      </c>
      <c r="R487" s="7">
        <v>36.904477049194853</v>
      </c>
      <c r="S487" s="7">
        <v>39.56206381750652</v>
      </c>
      <c r="T487" s="8">
        <v>0.71994408716477132</v>
      </c>
      <c r="U487" s="7">
        <v>38.776387050579679</v>
      </c>
    </row>
    <row r="488" spans="1:21" x14ac:dyDescent="0.3">
      <c r="A488" s="4">
        <v>40725</v>
      </c>
      <c r="B488" s="13">
        <f t="shared" si="11"/>
        <v>309.46894900000001</v>
      </c>
      <c r="C488" s="12">
        <v>2.8538222332486034E-2</v>
      </c>
      <c r="D488" s="5">
        <f t="shared" si="12"/>
        <v>7</v>
      </c>
      <c r="Q488" s="4">
        <v>40725</v>
      </c>
      <c r="R488" s="7">
        <v>0.10327089024892236</v>
      </c>
      <c r="S488" s="7">
        <v>0.53013254733360482</v>
      </c>
      <c r="T488" s="8">
        <v>2.3204292628783256E-2</v>
      </c>
      <c r="U488" s="7">
        <v>1.3271806607215135</v>
      </c>
    </row>
    <row r="489" spans="1:21" x14ac:dyDescent="0.3">
      <c r="A489" s="4">
        <v>40756</v>
      </c>
      <c r="B489" s="13">
        <f t="shared" si="11"/>
        <v>158.10704319999999</v>
      </c>
      <c r="C489" s="12">
        <v>2.037200524318906</v>
      </c>
      <c r="D489" s="5">
        <f t="shared" si="12"/>
        <v>8</v>
      </c>
      <c r="Q489" s="4">
        <v>40756</v>
      </c>
      <c r="R489" s="7">
        <v>11.079969377403255</v>
      </c>
      <c r="S489" s="7">
        <v>34.035046480014799</v>
      </c>
      <c r="T489" s="8">
        <v>0.42494115190443865</v>
      </c>
      <c r="U489" s="7">
        <v>23.259125122613103</v>
      </c>
    </row>
    <row r="490" spans="1:21" x14ac:dyDescent="0.3">
      <c r="A490" s="4">
        <v>40787</v>
      </c>
      <c r="B490" s="13">
        <f t="shared" si="11"/>
        <v>298.53266559999997</v>
      </c>
      <c r="C490" s="12">
        <v>5.3514502269536015E-3</v>
      </c>
      <c r="D490" s="5">
        <f t="shared" si="12"/>
        <v>9</v>
      </c>
      <c r="Q490" s="4">
        <v>40787</v>
      </c>
      <c r="R490" s="7">
        <v>1.7931830780719672E-2</v>
      </c>
      <c r="S490" s="7">
        <v>0.45767483914872575</v>
      </c>
      <c r="T490" s="8">
        <v>3.0512382412829523E-3</v>
      </c>
      <c r="U490" s="7">
        <v>1.3690661013043681</v>
      </c>
    </row>
    <row r="491" spans="1:21" x14ac:dyDescent="0.3">
      <c r="A491" s="4">
        <v>40817</v>
      </c>
      <c r="B491" s="13">
        <f t="shared" si="11"/>
        <v>213.84608180000001</v>
      </c>
      <c r="C491" s="12">
        <v>13.986500733881265</v>
      </c>
      <c r="D491" s="5">
        <f t="shared" si="12"/>
        <v>10</v>
      </c>
      <c r="Q491" s="4">
        <v>40817</v>
      </c>
      <c r="R491" s="7">
        <v>34.328715880015899</v>
      </c>
      <c r="S491" s="7">
        <v>74.462545599993206</v>
      </c>
      <c r="T491" s="8">
        <v>0.14170011821181105</v>
      </c>
      <c r="U491" s="7">
        <v>80.120461093377784</v>
      </c>
    </row>
    <row r="492" spans="1:21" x14ac:dyDescent="0.3">
      <c r="A492" s="4">
        <v>40848</v>
      </c>
      <c r="B492" s="13">
        <f t="shared" si="11"/>
        <v>110.5005215</v>
      </c>
      <c r="C492" s="12">
        <v>89.246281539089978</v>
      </c>
      <c r="D492" s="5">
        <f t="shared" si="12"/>
        <v>11</v>
      </c>
      <c r="Q492" s="4">
        <v>40848</v>
      </c>
      <c r="R492" s="7">
        <v>193.42570507383473</v>
      </c>
      <c r="S492" s="7">
        <v>207.81257085944821</v>
      </c>
      <c r="T492" s="8">
        <v>0.53636510233821311</v>
      </c>
      <c r="U492" s="7">
        <v>203.88172694305192</v>
      </c>
    </row>
    <row r="493" spans="1:21" x14ac:dyDescent="0.3">
      <c r="A493" s="4">
        <v>40878</v>
      </c>
      <c r="B493" s="13">
        <f t="shared" si="11"/>
        <v>241.72456159999999</v>
      </c>
      <c r="C493" s="12">
        <v>287.31891468632915</v>
      </c>
      <c r="D493" s="5">
        <f t="shared" si="12"/>
        <v>12</v>
      </c>
      <c r="Q493" s="4">
        <v>40878</v>
      </c>
      <c r="R493" s="7">
        <v>606.16673242110494</v>
      </c>
      <c r="S493" s="7">
        <v>529.07553865005923</v>
      </c>
      <c r="T493" s="8">
        <v>0.99389263705756159</v>
      </c>
      <c r="U493" s="7">
        <v>545.27308725101568</v>
      </c>
    </row>
    <row r="494" spans="1:21" x14ac:dyDescent="0.3">
      <c r="A494" s="4">
        <v>40909</v>
      </c>
      <c r="B494" s="13">
        <f t="shared" si="11"/>
        <v>97.134250300000005</v>
      </c>
      <c r="C494" s="12">
        <v>114.97253036359331</v>
      </c>
      <c r="D494" s="5">
        <f t="shared" si="12"/>
        <v>1</v>
      </c>
      <c r="Q494" s="4">
        <v>40909</v>
      </c>
      <c r="R494" s="7">
        <v>158.09039238618436</v>
      </c>
      <c r="S494" s="7">
        <v>150.35446734234836</v>
      </c>
      <c r="T494" s="8">
        <v>0.53782358273142439</v>
      </c>
      <c r="U494" s="7">
        <v>152.20074710024531</v>
      </c>
    </row>
    <row r="495" spans="1:21" x14ac:dyDescent="0.3">
      <c r="A495" s="4">
        <v>40940</v>
      </c>
      <c r="B495" s="13">
        <f t="shared" si="11"/>
        <v>130.82885669999999</v>
      </c>
      <c r="C495" s="12">
        <v>25.150534347631037</v>
      </c>
      <c r="D495" s="5">
        <f t="shared" si="12"/>
        <v>2</v>
      </c>
      <c r="Q495" s="4">
        <v>40940</v>
      </c>
      <c r="R495" s="7">
        <v>49.149680654812286</v>
      </c>
      <c r="S495" s="7">
        <v>68.811325651801454</v>
      </c>
      <c r="T495" s="8">
        <v>3.5777976847011832E-2</v>
      </c>
      <c r="U495" s="7">
        <v>71.60467454123679</v>
      </c>
    </row>
    <row r="496" spans="1:21" x14ac:dyDescent="0.3">
      <c r="A496" s="4">
        <v>40969</v>
      </c>
      <c r="B496" s="13">
        <f t="shared" si="11"/>
        <v>26.610938699999998</v>
      </c>
      <c r="C496" s="12">
        <v>118.05182711686935</v>
      </c>
      <c r="D496" s="5">
        <f t="shared" si="12"/>
        <v>3</v>
      </c>
      <c r="Q496" s="4">
        <v>40969</v>
      </c>
      <c r="R496" s="7">
        <v>251.56039580398092</v>
      </c>
      <c r="S496" s="7">
        <v>244.09539179906039</v>
      </c>
      <c r="T496" s="8">
        <v>0.89303787681009394</v>
      </c>
      <c r="U496" s="7">
        <v>244.16941051823366</v>
      </c>
    </row>
    <row r="497" spans="1:21" x14ac:dyDescent="0.3">
      <c r="A497" s="4">
        <v>41000</v>
      </c>
      <c r="B497" s="13">
        <f t="shared" si="11"/>
        <v>1.63548</v>
      </c>
      <c r="C497" s="12">
        <v>34.97628791956236</v>
      </c>
      <c r="D497" s="5">
        <f t="shared" si="12"/>
        <v>4</v>
      </c>
      <c r="Q497" s="4">
        <v>41000</v>
      </c>
      <c r="R497" s="7">
        <v>65.867756626245693</v>
      </c>
      <c r="S497" s="7">
        <v>58.701304240577606</v>
      </c>
      <c r="T497" s="8">
        <v>9.3450735993556702E-2</v>
      </c>
      <c r="U497" s="7">
        <v>58.498540036417403</v>
      </c>
    </row>
    <row r="498" spans="1:21" x14ac:dyDescent="0.3">
      <c r="A498" s="4">
        <v>41030</v>
      </c>
      <c r="B498" s="13">
        <f t="shared" si="11"/>
        <v>18.916799699999999</v>
      </c>
      <c r="C498" s="12">
        <v>9.3219039219548101</v>
      </c>
      <c r="D498" s="5">
        <f t="shared" si="12"/>
        <v>5</v>
      </c>
      <c r="Q498" s="4">
        <v>41030</v>
      </c>
      <c r="R498" s="7">
        <v>15.839759702072616</v>
      </c>
      <c r="S498" s="7">
        <v>21.808977424336241</v>
      </c>
      <c r="T498" s="8">
        <v>2.6845549910265602E-2</v>
      </c>
      <c r="U498" s="7">
        <v>22.467256361196327</v>
      </c>
    </row>
    <row r="499" spans="1:21" x14ac:dyDescent="0.3">
      <c r="A499" s="4">
        <v>41061</v>
      </c>
      <c r="B499" s="13">
        <f t="shared" si="11"/>
        <v>25.931323899999999</v>
      </c>
      <c r="C499" s="12">
        <v>1.0983765259879863</v>
      </c>
      <c r="D499" s="5">
        <f t="shared" si="12"/>
        <v>6</v>
      </c>
      <c r="Q499" s="4">
        <v>41061</v>
      </c>
      <c r="R499" s="7">
        <v>1.1128486875081702</v>
      </c>
      <c r="S499" s="7">
        <v>4.4710823920628631</v>
      </c>
      <c r="T499" s="8">
        <v>0.11025033859469954</v>
      </c>
      <c r="U499" s="7">
        <v>7.273775155061263</v>
      </c>
    </row>
    <row r="500" spans="1:21" x14ac:dyDescent="0.3">
      <c r="A500" s="4">
        <v>41091</v>
      </c>
      <c r="B500" s="13">
        <f t="shared" si="11"/>
        <v>325.60627670000002</v>
      </c>
      <c r="C500" s="12">
        <v>6.6703926975605983</v>
      </c>
      <c r="D500" s="5">
        <f t="shared" si="12"/>
        <v>7</v>
      </c>
      <c r="Q500" s="4">
        <v>41091</v>
      </c>
      <c r="R500" s="7">
        <v>24.138062425943183</v>
      </c>
      <c r="S500" s="7">
        <v>27.561996791179975</v>
      </c>
      <c r="T500" s="8">
        <v>0.64166772704841546</v>
      </c>
      <c r="U500" s="7">
        <v>27.577235037615765</v>
      </c>
    </row>
    <row r="501" spans="1:21" x14ac:dyDescent="0.3">
      <c r="A501" s="4">
        <v>41122</v>
      </c>
      <c r="B501" s="13">
        <f t="shared" si="11"/>
        <v>202.01087469999999</v>
      </c>
      <c r="C501" s="12">
        <v>1.4827564249571885</v>
      </c>
      <c r="D501" s="5">
        <f t="shared" si="12"/>
        <v>8</v>
      </c>
      <c r="Q501" s="4">
        <v>41122</v>
      </c>
      <c r="R501" s="7">
        <v>8.0644470618159811</v>
      </c>
      <c r="S501" s="7">
        <v>31.093775142428839</v>
      </c>
      <c r="T501" s="8">
        <v>0.36453943647757314</v>
      </c>
      <c r="U501" s="7">
        <v>20.37349799852251</v>
      </c>
    </row>
    <row r="502" spans="1:21" x14ac:dyDescent="0.3">
      <c r="A502" s="4">
        <v>41153</v>
      </c>
      <c r="B502" s="13">
        <f t="shared" si="11"/>
        <v>350.08974749999999</v>
      </c>
      <c r="C502" s="12">
        <v>5.5426941034966228</v>
      </c>
      <c r="D502" s="5">
        <f t="shared" si="12"/>
        <v>9</v>
      </c>
      <c r="Q502" s="4">
        <v>41153</v>
      </c>
      <c r="R502" s="7">
        <v>18.57265760084886</v>
      </c>
      <c r="S502" s="7">
        <v>33.67224446351171</v>
      </c>
      <c r="T502" s="8">
        <v>0.35026115513127315</v>
      </c>
      <c r="U502" s="7">
        <v>33.788291834564198</v>
      </c>
    </row>
    <row r="503" spans="1:21" x14ac:dyDescent="0.3">
      <c r="A503" s="4">
        <v>41183</v>
      </c>
      <c r="B503" s="13">
        <f t="shared" si="11"/>
        <v>257.61639930000001</v>
      </c>
      <c r="C503" s="12">
        <v>5.4686606752511624</v>
      </c>
      <c r="D503" s="5">
        <f t="shared" si="12"/>
        <v>10</v>
      </c>
      <c r="Q503" s="4">
        <v>41183</v>
      </c>
      <c r="R503" s="7">
        <v>13.422377915452856</v>
      </c>
      <c r="S503" s="7">
        <v>43.360206898347137</v>
      </c>
      <c r="T503" s="8">
        <v>4.8897441635425136E-2</v>
      </c>
      <c r="U503" s="7">
        <v>52.603038504458929</v>
      </c>
    </row>
    <row r="504" spans="1:21" x14ac:dyDescent="0.3">
      <c r="A504" s="4">
        <v>41214</v>
      </c>
      <c r="B504" s="13">
        <f t="shared" si="11"/>
        <v>229.90035789999999</v>
      </c>
      <c r="C504" s="12">
        <v>45.191823563072738</v>
      </c>
      <c r="D504" s="5">
        <f t="shared" si="12"/>
        <v>11</v>
      </c>
      <c r="Q504" s="4">
        <v>41214</v>
      </c>
      <c r="R504" s="7">
        <v>97.945373022975758</v>
      </c>
      <c r="S504" s="7">
        <v>138.13405689917576</v>
      </c>
      <c r="T504" s="8">
        <v>0.18332273076564901</v>
      </c>
      <c r="U504" s="7">
        <v>135.62097663053424</v>
      </c>
    </row>
    <row r="505" spans="1:21" x14ac:dyDescent="0.3">
      <c r="A505" s="4">
        <v>41244</v>
      </c>
      <c r="B505" s="13">
        <f t="shared" si="11"/>
        <v>57.142262500000001</v>
      </c>
      <c r="C505" s="12">
        <v>116.96362139191477</v>
      </c>
      <c r="D505" s="5">
        <f t="shared" si="12"/>
        <v>12</v>
      </c>
      <c r="Q505" s="4">
        <v>41244</v>
      </c>
      <c r="R505" s="7">
        <v>246.7622302857379</v>
      </c>
      <c r="S505" s="7">
        <v>248.46735691903572</v>
      </c>
      <c r="T505" s="8">
        <v>0.6142376060806356</v>
      </c>
      <c r="U505" s="7">
        <v>246.94915390118359</v>
      </c>
    </row>
    <row r="506" spans="1:21" x14ac:dyDescent="0.3">
      <c r="A506" s="4">
        <v>41275</v>
      </c>
      <c r="B506" s="13">
        <f t="shared" si="11"/>
        <v>152.03965389999999</v>
      </c>
      <c r="C506" s="12">
        <v>78.368400048930255</v>
      </c>
      <c r="D506" s="5">
        <f t="shared" si="12"/>
        <v>1</v>
      </c>
      <c r="Q506" s="4">
        <v>41275</v>
      </c>
      <c r="R506" s="7">
        <v>107.75870614687273</v>
      </c>
      <c r="S506" s="7">
        <v>90.69800991841602</v>
      </c>
      <c r="T506" s="8">
        <v>0.24959412695339137</v>
      </c>
      <c r="U506" s="7">
        <v>90.604532826721112</v>
      </c>
    </row>
    <row r="507" spans="1:21" x14ac:dyDescent="0.3">
      <c r="A507" s="4">
        <v>41306</v>
      </c>
      <c r="B507" s="13">
        <f t="shared" si="11"/>
        <v>113.5210194</v>
      </c>
      <c r="C507" s="12">
        <v>42.815356305800442</v>
      </c>
      <c r="D507" s="5">
        <f t="shared" si="12"/>
        <v>2</v>
      </c>
      <c r="Q507" s="4">
        <v>41306</v>
      </c>
      <c r="R507" s="7">
        <v>83.670631425383917</v>
      </c>
      <c r="S507" s="7">
        <v>103.89881740916771</v>
      </c>
      <c r="T507" s="8">
        <v>0.13021323038276991</v>
      </c>
      <c r="U507" s="7">
        <v>104.95928087913452</v>
      </c>
    </row>
    <row r="508" spans="1:21" x14ac:dyDescent="0.3">
      <c r="A508" s="4">
        <v>41334</v>
      </c>
      <c r="B508" s="13">
        <f t="shared" si="11"/>
        <v>20.604611500000001</v>
      </c>
      <c r="C508" s="12">
        <v>82.7713556354866</v>
      </c>
      <c r="D508" s="5">
        <f t="shared" si="12"/>
        <v>3</v>
      </c>
      <c r="Q508" s="4">
        <v>41334</v>
      </c>
      <c r="R508" s="7">
        <v>176.38011620338284</v>
      </c>
      <c r="S508" s="7">
        <v>175.86209462890415</v>
      </c>
      <c r="T508" s="8">
        <v>0.68566286326441905</v>
      </c>
      <c r="U508" s="7">
        <v>175.4160017585763</v>
      </c>
    </row>
    <row r="509" spans="1:21" x14ac:dyDescent="0.3">
      <c r="A509" s="4">
        <v>41365</v>
      </c>
      <c r="B509" s="13">
        <f t="shared" si="11"/>
        <v>4.1861344999999996</v>
      </c>
      <c r="C509" s="12">
        <v>117.17281420715155</v>
      </c>
      <c r="D509" s="5">
        <f t="shared" si="12"/>
        <v>4</v>
      </c>
      <c r="Q509" s="4">
        <v>41365</v>
      </c>
      <c r="R509" s="7">
        <v>220.66122131537884</v>
      </c>
      <c r="S509" s="7">
        <v>230.4573400348678</v>
      </c>
      <c r="T509" s="8">
        <v>0.88568428843762559</v>
      </c>
      <c r="U509" s="7">
        <v>230.11446946920722</v>
      </c>
    </row>
    <row r="510" spans="1:21" x14ac:dyDescent="0.3">
      <c r="A510" s="4">
        <v>41395</v>
      </c>
      <c r="B510" s="13">
        <f t="shared" si="11"/>
        <v>57.942728199999998</v>
      </c>
      <c r="C510" s="12">
        <v>10.30314042727697</v>
      </c>
      <c r="D510" s="5">
        <f t="shared" si="12"/>
        <v>5</v>
      </c>
      <c r="Q510" s="4">
        <v>41395</v>
      </c>
      <c r="R510" s="7">
        <v>17.507074725412316</v>
      </c>
      <c r="S510" s="7">
        <v>23.737644711018181</v>
      </c>
      <c r="T510" s="8">
        <v>3.2838761963582735E-2</v>
      </c>
      <c r="U510" s="7">
        <v>24.335369976629281</v>
      </c>
    </row>
    <row r="511" spans="1:21" x14ac:dyDescent="0.3">
      <c r="A511" s="4">
        <v>41426</v>
      </c>
      <c r="B511" s="13">
        <f t="shared" si="11"/>
        <v>39.955255299999997</v>
      </c>
      <c r="C511" s="12">
        <v>0.4533237324722007</v>
      </c>
      <c r="D511" s="5">
        <f t="shared" si="12"/>
        <v>6</v>
      </c>
      <c r="Q511" s="4">
        <v>41426</v>
      </c>
      <c r="R511" s="7">
        <v>0.45929670633138725</v>
      </c>
      <c r="S511" s="7">
        <v>2.5768672569715938</v>
      </c>
      <c r="T511" s="8">
        <v>6.4799569060173604E-2</v>
      </c>
      <c r="U511" s="7">
        <v>5.0823528560168869</v>
      </c>
    </row>
    <row r="512" spans="1:21" x14ac:dyDescent="0.3">
      <c r="A512" s="4">
        <v>41456</v>
      </c>
      <c r="B512" s="13">
        <f t="shared" ref="B512:B575" si="13">B131</f>
        <v>102.8811611</v>
      </c>
      <c r="C512" s="12">
        <v>0.26721815943346877</v>
      </c>
      <c r="D512" s="5">
        <f t="shared" si="12"/>
        <v>7</v>
      </c>
      <c r="Q512" s="4">
        <v>41456</v>
      </c>
      <c r="R512" s="7">
        <v>0.96697884310612736</v>
      </c>
      <c r="S512" s="7">
        <v>2.6798100926361736</v>
      </c>
      <c r="T512" s="8">
        <v>9.8280755711421808E-2</v>
      </c>
      <c r="U512" s="7">
        <v>4.213779622918401</v>
      </c>
    </row>
    <row r="513" spans="1:21" x14ac:dyDescent="0.3">
      <c r="A513" s="4">
        <v>41487</v>
      </c>
      <c r="B513" s="13">
        <f t="shared" si="13"/>
        <v>98.114915199999999</v>
      </c>
      <c r="C513" s="12">
        <v>0.85214628334142573</v>
      </c>
      <c r="D513" s="5">
        <f t="shared" si="12"/>
        <v>8</v>
      </c>
      <c r="Q513" s="4">
        <v>41487</v>
      </c>
      <c r="R513" s="7">
        <v>4.6346712617539909</v>
      </c>
      <c r="S513" s="7">
        <v>26.560217406217077</v>
      </c>
      <c r="T513" s="8">
        <v>0.2763226344093701</v>
      </c>
      <c r="U513" s="7">
        <v>16.349236369110599</v>
      </c>
    </row>
    <row r="514" spans="1:21" x14ac:dyDescent="0.3">
      <c r="A514" s="4">
        <v>41518</v>
      </c>
      <c r="B514" s="13">
        <f t="shared" si="13"/>
        <v>449.20146499999998</v>
      </c>
      <c r="C514" s="12">
        <v>10.942170818452738</v>
      </c>
      <c r="D514" s="5">
        <f t="shared" si="12"/>
        <v>9</v>
      </c>
      <c r="Q514" s="4">
        <v>41518</v>
      </c>
      <c r="R514" s="7">
        <v>36.665417254926211</v>
      </c>
      <c r="S514" s="7">
        <v>51.302778256895273</v>
      </c>
      <c r="T514" s="8">
        <v>0.51835375035637954</v>
      </c>
      <c r="U514" s="7">
        <v>49.574376381995698</v>
      </c>
    </row>
    <row r="515" spans="1:21" x14ac:dyDescent="0.3">
      <c r="A515" s="4">
        <v>41548</v>
      </c>
      <c r="B515" s="13">
        <f t="shared" si="13"/>
        <v>64.802030999999999</v>
      </c>
      <c r="C515" s="12">
        <v>112.43872011546057</v>
      </c>
      <c r="D515" s="5">
        <f t="shared" ref="D515:D578" si="14">MONTH(A515)</f>
        <v>10</v>
      </c>
      <c r="Q515" s="4">
        <v>41548</v>
      </c>
      <c r="R515" s="7">
        <v>275.97159219432262</v>
      </c>
      <c r="S515" s="7">
        <v>247.2853541493601</v>
      </c>
      <c r="T515" s="8">
        <v>0.80733059637420268</v>
      </c>
      <c r="U515" s="7">
        <v>242.37556211688249</v>
      </c>
    </row>
    <row r="516" spans="1:21" x14ac:dyDescent="0.3">
      <c r="A516" s="4">
        <v>41579</v>
      </c>
      <c r="B516" s="13">
        <f t="shared" si="13"/>
        <v>162.68020329999999</v>
      </c>
      <c r="C516" s="12">
        <v>155.35146952606746</v>
      </c>
      <c r="D516" s="5">
        <f t="shared" si="14"/>
        <v>11</v>
      </c>
      <c r="Q516" s="4">
        <v>41579</v>
      </c>
      <c r="R516" s="7">
        <v>336.69713750678187</v>
      </c>
      <c r="S516" s="7">
        <v>289.83447205658831</v>
      </c>
      <c r="T516" s="8">
        <v>0.86021550020806314</v>
      </c>
      <c r="U516" s="7">
        <v>291.55745689314097</v>
      </c>
    </row>
    <row r="517" spans="1:21" x14ac:dyDescent="0.3">
      <c r="A517" s="4">
        <v>41609</v>
      </c>
      <c r="B517" s="13">
        <f t="shared" si="13"/>
        <v>230.97176329999999</v>
      </c>
      <c r="C517" s="12">
        <v>104.80546558974301</v>
      </c>
      <c r="D517" s="5">
        <f t="shared" si="14"/>
        <v>12</v>
      </c>
      <c r="Q517" s="4">
        <v>41609</v>
      </c>
      <c r="R517" s="7">
        <v>221.11174506475979</v>
      </c>
      <c r="S517" s="7">
        <v>226.55942721237145</v>
      </c>
      <c r="T517" s="8">
        <v>0.52578675474822822</v>
      </c>
      <c r="U517" s="7">
        <v>224.67525376032492</v>
      </c>
    </row>
    <row r="518" spans="1:21" x14ac:dyDescent="0.3">
      <c r="A518" s="4">
        <v>41640</v>
      </c>
      <c r="B518" s="13">
        <f t="shared" si="13"/>
        <v>83.452341099999998</v>
      </c>
      <c r="C518" s="12">
        <v>237.09048377349961</v>
      </c>
      <c r="D518" s="5">
        <f t="shared" si="14"/>
        <v>1</v>
      </c>
      <c r="Q518" s="4">
        <v>41640</v>
      </c>
      <c r="R518" s="7">
        <v>326.00593804667301</v>
      </c>
      <c r="S518" s="7">
        <v>390.51885563995376</v>
      </c>
      <c r="T518" s="8">
        <v>0.96806475783857349</v>
      </c>
      <c r="U518" s="7">
        <v>383.84071549237825</v>
      </c>
    </row>
    <row r="519" spans="1:21" x14ac:dyDescent="0.3">
      <c r="A519" s="4">
        <v>41671</v>
      </c>
      <c r="B519" s="13">
        <f t="shared" si="13"/>
        <v>109.79317899999999</v>
      </c>
      <c r="C519" s="12">
        <v>91.823429474606996</v>
      </c>
      <c r="D519" s="5">
        <f t="shared" si="14"/>
        <v>2</v>
      </c>
      <c r="Q519" s="4">
        <v>41671</v>
      </c>
      <c r="R519" s="7">
        <v>179.44319484137344</v>
      </c>
      <c r="S519" s="7">
        <v>187.60532037504927</v>
      </c>
      <c r="T519" s="8">
        <v>0.51817595605679645</v>
      </c>
      <c r="U519" s="7">
        <v>186.09913908169057</v>
      </c>
    </row>
    <row r="520" spans="1:21" x14ac:dyDescent="0.3">
      <c r="A520" s="4">
        <v>41699</v>
      </c>
      <c r="B520" s="13">
        <f t="shared" si="13"/>
        <v>21.7297835</v>
      </c>
      <c r="C520" s="12">
        <v>57.785419444553646</v>
      </c>
      <c r="D520" s="5">
        <f t="shared" si="14"/>
        <v>3</v>
      </c>
      <c r="Q520" s="4">
        <v>41699</v>
      </c>
      <c r="R520" s="7">
        <v>123.1367895117799</v>
      </c>
      <c r="S520" s="7">
        <v>126.19985491202002</v>
      </c>
      <c r="T520" s="8">
        <v>0.4220913577133501</v>
      </c>
      <c r="U520" s="7">
        <v>125.89228367041221</v>
      </c>
    </row>
    <row r="521" spans="1:21" x14ac:dyDescent="0.3">
      <c r="A521" s="4">
        <v>41730</v>
      </c>
      <c r="B521" s="13">
        <f t="shared" si="13"/>
        <v>13.1836977</v>
      </c>
      <c r="C521" s="12">
        <v>95.998206292279079</v>
      </c>
      <c r="D521" s="5">
        <f t="shared" si="14"/>
        <v>4</v>
      </c>
      <c r="Q521" s="4">
        <v>41730</v>
      </c>
      <c r="R521" s="7">
        <v>180.78495074028098</v>
      </c>
      <c r="S521" s="7">
        <v>183.93704212361453</v>
      </c>
      <c r="T521" s="8">
        <v>0.76271053514729081</v>
      </c>
      <c r="U521" s="7">
        <v>184.45227776055339</v>
      </c>
    </row>
    <row r="522" spans="1:21" x14ac:dyDescent="0.3">
      <c r="A522" s="4">
        <v>41760</v>
      </c>
      <c r="B522" s="13">
        <f t="shared" si="13"/>
        <v>25.683597500000001</v>
      </c>
      <c r="C522" s="12">
        <v>15.573889654478995</v>
      </c>
      <c r="D522" s="5">
        <f t="shared" si="14"/>
        <v>5</v>
      </c>
      <c r="Q522" s="4">
        <v>41760</v>
      </c>
      <c r="R522" s="7">
        <v>26.463120819401411</v>
      </c>
      <c r="S522" s="7">
        <v>33.679138354324714</v>
      </c>
      <c r="T522" s="8">
        <v>7.3320380056811976E-2</v>
      </c>
      <c r="U522" s="7">
        <v>33.933602342737444</v>
      </c>
    </row>
    <row r="523" spans="1:21" x14ac:dyDescent="0.3">
      <c r="A523" s="4">
        <v>41791</v>
      </c>
      <c r="B523" s="13">
        <f t="shared" si="13"/>
        <v>80.812722199999996</v>
      </c>
      <c r="C523" s="12">
        <v>16.565465368330468</v>
      </c>
      <c r="D523" s="5">
        <f t="shared" si="14"/>
        <v>6</v>
      </c>
      <c r="Q523" s="4">
        <v>41791</v>
      </c>
      <c r="R523" s="7">
        <v>16.783731222338819</v>
      </c>
      <c r="S523" s="7">
        <v>24.221746905483904</v>
      </c>
      <c r="T523" s="8">
        <v>0.50999877584542253</v>
      </c>
      <c r="U523" s="7">
        <v>25.190837622196174</v>
      </c>
    </row>
    <row r="524" spans="1:21" x14ac:dyDescent="0.3">
      <c r="A524" s="4">
        <v>41821</v>
      </c>
      <c r="B524" s="13">
        <f t="shared" si="13"/>
        <v>108.18812509999999</v>
      </c>
      <c r="C524" s="12">
        <v>23.046989977592588</v>
      </c>
      <c r="D524" s="5">
        <f t="shared" si="14"/>
        <v>7</v>
      </c>
      <c r="Q524" s="4">
        <v>41821</v>
      </c>
      <c r="R524" s="7">
        <v>83.399839864399965</v>
      </c>
      <c r="S524" s="7">
        <v>67.667196328251237</v>
      </c>
      <c r="T524" s="8">
        <v>0.93856069757982774</v>
      </c>
      <c r="U524" s="7">
        <v>66.188261587572555</v>
      </c>
    </row>
    <row r="525" spans="1:21" x14ac:dyDescent="0.3">
      <c r="A525" s="4">
        <v>41852</v>
      </c>
      <c r="B525" s="13">
        <f t="shared" si="13"/>
        <v>215.6760567</v>
      </c>
      <c r="C525" s="12">
        <v>8.0021633795695344</v>
      </c>
      <c r="D525" s="5">
        <f t="shared" si="14"/>
        <v>8</v>
      </c>
      <c r="Q525" s="4">
        <v>41852</v>
      </c>
      <c r="R525" s="7">
        <v>43.522335744661653</v>
      </c>
      <c r="S525" s="7">
        <v>50.231713315617434</v>
      </c>
      <c r="T525" s="8">
        <v>0.74898153443913185</v>
      </c>
      <c r="U525" s="7">
        <v>44.100130511868215</v>
      </c>
    </row>
    <row r="526" spans="1:21" x14ac:dyDescent="0.3">
      <c r="A526" s="4">
        <v>41883</v>
      </c>
      <c r="B526" s="13">
        <f t="shared" si="13"/>
        <v>292.91370449999999</v>
      </c>
      <c r="C526" s="12">
        <v>12.016930661047821</v>
      </c>
      <c r="D526" s="5">
        <f t="shared" si="14"/>
        <v>9</v>
      </c>
      <c r="Q526" s="4">
        <v>41883</v>
      </c>
      <c r="R526" s="7">
        <v>40.266760967376115</v>
      </c>
      <c r="S526" s="7">
        <v>54.366547509425949</v>
      </c>
      <c r="T526" s="8">
        <v>0.54464776773469825</v>
      </c>
      <c r="U526" s="7">
        <v>52.376231072531837</v>
      </c>
    </row>
    <row r="527" spans="1:21" x14ac:dyDescent="0.3">
      <c r="A527" s="4">
        <v>41913</v>
      </c>
      <c r="B527" s="13">
        <f t="shared" si="13"/>
        <v>62.543712800000002</v>
      </c>
      <c r="C527" s="12">
        <v>229.38679014332578</v>
      </c>
      <c r="D527" s="5">
        <f t="shared" si="14"/>
        <v>10</v>
      </c>
      <c r="Q527" s="4">
        <v>41913</v>
      </c>
      <c r="R527" s="7">
        <v>563.01101292502256</v>
      </c>
      <c r="S527" s="7">
        <v>372.8299779143112</v>
      </c>
      <c r="T527" s="8">
        <v>0.97192251654289352</v>
      </c>
      <c r="U527" s="7">
        <v>382.89554469741938</v>
      </c>
    </row>
    <row r="528" spans="1:21" x14ac:dyDescent="0.3">
      <c r="A528" s="4">
        <v>41944</v>
      </c>
      <c r="B528" s="13">
        <f t="shared" si="13"/>
        <v>143.03217140000001</v>
      </c>
      <c r="C528" s="12">
        <v>13.58156978676562</v>
      </c>
      <c r="D528" s="5">
        <f t="shared" si="14"/>
        <v>11</v>
      </c>
      <c r="Q528" s="4">
        <v>41944</v>
      </c>
      <c r="R528" s="7">
        <v>29.435676945979999</v>
      </c>
      <c r="S528" s="7">
        <v>67.133824556334034</v>
      </c>
      <c r="T528" s="8">
        <v>1.2040300840184967E-2</v>
      </c>
      <c r="U528" s="7">
        <v>70.695924155167205</v>
      </c>
    </row>
    <row r="529" spans="1:21" x14ac:dyDescent="0.3">
      <c r="A529" s="4">
        <v>41974</v>
      </c>
      <c r="B529" s="13">
        <f t="shared" si="13"/>
        <v>44.807212999999997</v>
      </c>
      <c r="C529" s="12">
        <v>92.483270179946075</v>
      </c>
      <c r="D529" s="5">
        <f t="shared" si="14"/>
        <v>12</v>
      </c>
      <c r="Q529" s="4">
        <v>41974</v>
      </c>
      <c r="R529" s="7">
        <v>195.11517976391522</v>
      </c>
      <c r="S529" s="7">
        <v>203.93844935390328</v>
      </c>
      <c r="T529" s="8">
        <v>0.4274958529760895</v>
      </c>
      <c r="U529" s="7">
        <v>201.84691136007118</v>
      </c>
    </row>
    <row r="530" spans="1:21" x14ac:dyDescent="0.3">
      <c r="A530" s="4">
        <v>42005</v>
      </c>
      <c r="B530" s="13">
        <f t="shared" si="13"/>
        <v>32.591151400000001</v>
      </c>
      <c r="C530" s="12">
        <v>42.736220243387002</v>
      </c>
      <c r="D530" s="5">
        <f t="shared" si="14"/>
        <v>1</v>
      </c>
      <c r="Q530" s="4">
        <v>42005</v>
      </c>
      <c r="R530" s="7">
        <v>58.763478598004575</v>
      </c>
      <c r="S530" s="7">
        <v>40.76600902921102</v>
      </c>
      <c r="T530" s="8">
        <v>4.2265259217187608E-2</v>
      </c>
      <c r="U530" s="7">
        <v>38.234656186426484</v>
      </c>
    </row>
    <row r="531" spans="1:21" x14ac:dyDescent="0.3">
      <c r="A531" s="4">
        <v>42036</v>
      </c>
      <c r="B531" s="13">
        <f t="shared" si="13"/>
        <v>41.767181999999998</v>
      </c>
      <c r="C531" s="12">
        <v>51.688496419228578</v>
      </c>
      <c r="D531" s="5">
        <f t="shared" si="14"/>
        <v>2</v>
      </c>
      <c r="Q531" s="4">
        <v>42036</v>
      </c>
      <c r="R531" s="7">
        <v>101.01070050512797</v>
      </c>
      <c r="S531" s="7">
        <v>120.21552122894191</v>
      </c>
      <c r="T531" s="8">
        <v>0.1946383229530948</v>
      </c>
      <c r="U531" s="7">
        <v>120.55797543353721</v>
      </c>
    </row>
    <row r="532" spans="1:21" x14ac:dyDescent="0.3">
      <c r="A532" s="4">
        <v>42064</v>
      </c>
      <c r="B532" s="13">
        <f t="shared" si="13"/>
        <v>97.867575400000007</v>
      </c>
      <c r="C532" s="12">
        <v>64.089743653312354</v>
      </c>
      <c r="D532" s="5">
        <f t="shared" si="14"/>
        <v>3</v>
      </c>
      <c r="Q532" s="4">
        <v>42064</v>
      </c>
      <c r="R532" s="7">
        <v>136.57087462476952</v>
      </c>
      <c r="S532" s="7">
        <v>138.86285951514637</v>
      </c>
      <c r="T532" s="8">
        <v>0.49650415983469554</v>
      </c>
      <c r="U532" s="7">
        <v>138.47828701804028</v>
      </c>
    </row>
    <row r="533" spans="1:21" x14ac:dyDescent="0.3">
      <c r="A533" s="4">
        <v>42095</v>
      </c>
      <c r="B533" s="13">
        <f t="shared" si="13"/>
        <v>66.798116699999994</v>
      </c>
      <c r="C533" s="12">
        <v>14.58432253275531</v>
      </c>
      <c r="D533" s="5">
        <f t="shared" si="14"/>
        <v>4</v>
      </c>
      <c r="Q533" s="4">
        <v>42095</v>
      </c>
      <c r="R533" s="7">
        <v>27.465367661526784</v>
      </c>
      <c r="S533" s="7">
        <v>21.82313428782307</v>
      </c>
      <c r="T533" s="8">
        <v>3.9528186727254694E-3</v>
      </c>
      <c r="U533" s="7">
        <v>20.864925687416388</v>
      </c>
    </row>
    <row r="534" spans="1:21" x14ac:dyDescent="0.3">
      <c r="A534" s="4">
        <v>42125</v>
      </c>
      <c r="B534" s="13">
        <f t="shared" si="13"/>
        <v>27.259584700000001</v>
      </c>
      <c r="C534" s="12">
        <v>63.423485605744695</v>
      </c>
      <c r="D534" s="5">
        <f t="shared" si="14"/>
        <v>5</v>
      </c>
      <c r="Q534" s="4">
        <v>42125</v>
      </c>
      <c r="R534" s="7">
        <v>107.76905446287729</v>
      </c>
      <c r="S534" s="7">
        <v>110.5937718879316</v>
      </c>
      <c r="T534" s="8">
        <v>0.59922213848957606</v>
      </c>
      <c r="U534" s="7">
        <v>109.39796695718519</v>
      </c>
    </row>
    <row r="535" spans="1:21" x14ac:dyDescent="0.3">
      <c r="A535" s="4">
        <v>42156</v>
      </c>
      <c r="B535" s="13">
        <f t="shared" si="13"/>
        <v>40.889925599999998</v>
      </c>
      <c r="C535" s="12">
        <v>1.278785155591321</v>
      </c>
      <c r="D535" s="5">
        <f t="shared" si="14"/>
        <v>6</v>
      </c>
      <c r="Q535" s="4">
        <v>42156</v>
      </c>
      <c r="R535" s="7">
        <v>1.2956343733991074</v>
      </c>
      <c r="S535" s="7">
        <v>4.9151647191349701</v>
      </c>
      <c r="T535" s="8">
        <v>0.12072978139501571</v>
      </c>
      <c r="U535" s="7">
        <v>7.7480386134337857</v>
      </c>
    </row>
    <row r="536" spans="1:21" x14ac:dyDescent="0.3">
      <c r="A536" s="4">
        <v>42186</v>
      </c>
      <c r="B536" s="13">
        <f t="shared" si="13"/>
        <v>140.9795426</v>
      </c>
      <c r="C536" s="12">
        <v>7.1970200679061208E-2</v>
      </c>
      <c r="D536" s="5">
        <f t="shared" si="14"/>
        <v>7</v>
      </c>
      <c r="Q536" s="4">
        <v>42186</v>
      </c>
      <c r="R536" s="7">
        <v>0.26043761972726881</v>
      </c>
      <c r="S536" s="7">
        <v>1.0360921879789922</v>
      </c>
      <c r="T536" s="8">
        <v>4.2234377049426647E-2</v>
      </c>
      <c r="U536" s="7">
        <v>2.1252849212167915</v>
      </c>
    </row>
    <row r="537" spans="1:21" x14ac:dyDescent="0.3">
      <c r="A537" s="4">
        <v>42217</v>
      </c>
      <c r="B537" s="13">
        <f t="shared" si="13"/>
        <v>185.0613275</v>
      </c>
      <c r="C537" s="12">
        <v>4.1256101387261923</v>
      </c>
      <c r="D537" s="5">
        <f t="shared" si="14"/>
        <v>8</v>
      </c>
      <c r="Q537" s="4">
        <v>42217</v>
      </c>
      <c r="R537" s="7">
        <v>22.438455839035928</v>
      </c>
      <c r="S537" s="7">
        <v>41.602305087720111</v>
      </c>
      <c r="T537" s="8">
        <v>0.58340846384381151</v>
      </c>
      <c r="U537" s="7">
        <v>31.844798582060303</v>
      </c>
    </row>
    <row r="538" spans="1:21" x14ac:dyDescent="0.3">
      <c r="A538" s="4">
        <v>42248</v>
      </c>
      <c r="B538" s="13">
        <f t="shared" si="13"/>
        <v>173.38220820000001</v>
      </c>
      <c r="C538" s="12">
        <v>1.5940264547680261</v>
      </c>
      <c r="D538" s="5">
        <f t="shared" si="14"/>
        <v>9</v>
      </c>
      <c r="Q538" s="4">
        <v>42248</v>
      </c>
      <c r="R538" s="7">
        <v>5.3413208447539908</v>
      </c>
      <c r="S538" s="7">
        <v>15.566969552970514</v>
      </c>
      <c r="T538" s="8">
        <v>0.15657384143432557</v>
      </c>
      <c r="U538" s="7">
        <v>17.720938505026723</v>
      </c>
    </row>
    <row r="539" spans="1:21" x14ac:dyDescent="0.3">
      <c r="A539" s="4">
        <v>42278</v>
      </c>
      <c r="B539" s="13">
        <f t="shared" si="13"/>
        <v>202.8988627</v>
      </c>
      <c r="C539" s="12">
        <v>53.051763516850819</v>
      </c>
      <c r="D539" s="5">
        <f t="shared" si="14"/>
        <v>10</v>
      </c>
      <c r="Q539" s="4">
        <v>42278</v>
      </c>
      <c r="R539" s="7">
        <v>130.21119087292828</v>
      </c>
      <c r="S539" s="7">
        <v>160.45301894945763</v>
      </c>
      <c r="T539" s="8">
        <v>0.50953231828953593</v>
      </c>
      <c r="U539" s="7">
        <v>157.07737101861244</v>
      </c>
    </row>
    <row r="540" spans="1:21" x14ac:dyDescent="0.3">
      <c r="A540" s="4">
        <v>42309</v>
      </c>
      <c r="B540" s="13">
        <f t="shared" si="13"/>
        <v>247.25546840000001</v>
      </c>
      <c r="C540" s="12">
        <v>162.49921289272595</v>
      </c>
      <c r="D540" s="5">
        <f t="shared" si="14"/>
        <v>11</v>
      </c>
      <c r="Q540" s="4">
        <v>42309</v>
      </c>
      <c r="R540" s="7">
        <v>352.18862103461026</v>
      </c>
      <c r="S540" s="7">
        <v>297.76597586348367</v>
      </c>
      <c r="T540" s="8">
        <v>0.87907927986083889</v>
      </c>
      <c r="U540" s="7">
        <v>300.47390975852426</v>
      </c>
    </row>
    <row r="541" spans="1:21" x14ac:dyDescent="0.3">
      <c r="A541" s="4">
        <v>42339</v>
      </c>
      <c r="B541" s="13">
        <f t="shared" si="13"/>
        <v>232.18461060000001</v>
      </c>
      <c r="C541" s="12">
        <v>143.62304415553811</v>
      </c>
      <c r="D541" s="5">
        <f t="shared" si="14"/>
        <v>12</v>
      </c>
      <c r="Q541" s="4">
        <v>42339</v>
      </c>
      <c r="R541" s="7">
        <v>303.00654403897823</v>
      </c>
      <c r="S541" s="7">
        <v>295.29963291515844</v>
      </c>
      <c r="T541" s="8">
        <v>0.76906804717284216</v>
      </c>
      <c r="U541" s="7">
        <v>295.0960026433026</v>
      </c>
    </row>
    <row r="542" spans="1:21" x14ac:dyDescent="0.3">
      <c r="A542" s="4">
        <v>42370</v>
      </c>
      <c r="B542" s="13">
        <f t="shared" si="13"/>
        <v>238.1788597</v>
      </c>
      <c r="C542" s="12">
        <v>178.72865048702818</v>
      </c>
      <c r="D542" s="5">
        <f t="shared" si="14"/>
        <v>1</v>
      </c>
      <c r="Q542" s="4">
        <v>42370</v>
      </c>
      <c r="R542" s="7">
        <v>245.75681162093198</v>
      </c>
      <c r="S542" s="7">
        <v>269.02880442156078</v>
      </c>
      <c r="T542" s="8">
        <v>0.86708836674485101</v>
      </c>
      <c r="U542" s="7">
        <v>269.66177355541629</v>
      </c>
    </row>
    <row r="543" spans="1:21" x14ac:dyDescent="0.3">
      <c r="A543" s="4">
        <v>42401</v>
      </c>
      <c r="B543" s="13">
        <f t="shared" si="13"/>
        <v>52.807319</v>
      </c>
      <c r="C543" s="12">
        <v>49.588957132073176</v>
      </c>
      <c r="D543" s="5">
        <f t="shared" si="14"/>
        <v>2</v>
      </c>
      <c r="Q543" s="4">
        <v>42401</v>
      </c>
      <c r="R543" s="7">
        <v>96.907738553719568</v>
      </c>
      <c r="S543" s="7">
        <v>116.4159757159143</v>
      </c>
      <c r="T543" s="8">
        <v>0.17868125143407018</v>
      </c>
      <c r="U543" s="7">
        <v>116.91797061376911</v>
      </c>
    </row>
    <row r="544" spans="1:21" x14ac:dyDescent="0.3">
      <c r="A544" s="4">
        <v>42430</v>
      </c>
      <c r="B544" s="13">
        <f t="shared" si="13"/>
        <v>22.506163999999998</v>
      </c>
      <c r="C544" s="12">
        <v>62.880293803755066</v>
      </c>
      <c r="D544" s="5">
        <f t="shared" si="14"/>
        <v>3</v>
      </c>
      <c r="Q544" s="4">
        <v>42430</v>
      </c>
      <c r="R544" s="7">
        <v>133.99361944549565</v>
      </c>
      <c r="S544" s="7">
        <v>136.44122320962558</v>
      </c>
      <c r="T544" s="8">
        <v>0.48253651187118368</v>
      </c>
      <c r="U544" s="7">
        <v>136.06919709893114</v>
      </c>
    </row>
    <row r="545" spans="1:21" x14ac:dyDescent="0.3">
      <c r="A545" s="4">
        <v>42461</v>
      </c>
      <c r="B545" s="13">
        <f t="shared" si="13"/>
        <v>12.8956769</v>
      </c>
      <c r="C545" s="12">
        <v>42.677824676502382</v>
      </c>
      <c r="D545" s="5">
        <f t="shared" si="14"/>
        <v>4</v>
      </c>
      <c r="Q545" s="4">
        <v>42461</v>
      </c>
      <c r="R545" s="7">
        <v>80.371381193862703</v>
      </c>
      <c r="S545" s="7">
        <v>73.521807901397594</v>
      </c>
      <c r="T545" s="8">
        <v>0.1665517697706092</v>
      </c>
      <c r="U545" s="7">
        <v>73.629511177786739</v>
      </c>
    </row>
    <row r="546" spans="1:21" x14ac:dyDescent="0.3">
      <c r="A546" s="4">
        <v>42491</v>
      </c>
      <c r="B546" s="13">
        <f t="shared" si="13"/>
        <v>74.901552199999998</v>
      </c>
      <c r="C546" s="12">
        <v>45.562524755951095</v>
      </c>
      <c r="D546" s="5">
        <f t="shared" si="14"/>
        <v>5</v>
      </c>
      <c r="Q546" s="4">
        <v>42491</v>
      </c>
      <c r="R546" s="7">
        <v>77.41974703839891</v>
      </c>
      <c r="S546" s="7">
        <v>83.580897337139419</v>
      </c>
      <c r="T546" s="8">
        <v>0.41426991334138991</v>
      </c>
      <c r="U546" s="7">
        <v>82.509587738861214</v>
      </c>
    </row>
    <row r="547" spans="1:21" x14ac:dyDescent="0.3">
      <c r="A547" s="4">
        <v>42522</v>
      </c>
      <c r="B547" s="13">
        <f t="shared" si="13"/>
        <v>42.695902099999998</v>
      </c>
      <c r="C547" s="12">
        <v>17.288654009462334</v>
      </c>
      <c r="D547" s="5">
        <f t="shared" si="14"/>
        <v>6</v>
      </c>
      <c r="Q547" s="4">
        <v>42522</v>
      </c>
      <c r="R547" s="7">
        <v>17.5164485656747</v>
      </c>
      <c r="S547" s="7">
        <v>24.874867637824607</v>
      </c>
      <c r="T547" s="8">
        <v>0.52073191683327447</v>
      </c>
      <c r="U547" s="7">
        <v>25.7588426025528</v>
      </c>
    </row>
    <row r="548" spans="1:21" x14ac:dyDescent="0.3">
      <c r="A548" s="4">
        <v>42552</v>
      </c>
      <c r="B548" s="13">
        <f t="shared" si="13"/>
        <v>7.3926724999999998</v>
      </c>
      <c r="C548" s="12">
        <v>0.11096238869185993</v>
      </c>
      <c r="D548" s="5">
        <f t="shared" si="14"/>
        <v>7</v>
      </c>
      <c r="Q548" s="4">
        <v>42552</v>
      </c>
      <c r="R548" s="7">
        <v>0.40153813825015122</v>
      </c>
      <c r="S548" s="7">
        <v>1.4177644504532287</v>
      </c>
      <c r="T548" s="8">
        <v>5.5861650213270421E-2</v>
      </c>
      <c r="U548" s="7">
        <v>2.6568856331023718</v>
      </c>
    </row>
    <row r="549" spans="1:21" x14ac:dyDescent="0.3">
      <c r="A549" s="4">
        <v>42583</v>
      </c>
      <c r="B549" s="13">
        <f t="shared" si="13"/>
        <v>197.41682779999999</v>
      </c>
      <c r="C549" s="12">
        <v>11.891279632982323</v>
      </c>
      <c r="D549" s="5">
        <f t="shared" si="14"/>
        <v>8</v>
      </c>
      <c r="Q549" s="4">
        <v>42583</v>
      </c>
      <c r="R549" s="7">
        <v>64.674543629244653</v>
      </c>
      <c r="S549" s="7">
        <v>56.223864466054749</v>
      </c>
      <c r="T549" s="8">
        <v>0.84135404959061333</v>
      </c>
      <c r="U549" s="7">
        <v>54.499340466354731</v>
      </c>
    </row>
    <row r="550" spans="1:21" x14ac:dyDescent="0.3">
      <c r="A550" s="4">
        <v>42614</v>
      </c>
      <c r="B550" s="13">
        <f t="shared" si="13"/>
        <v>148.2811413</v>
      </c>
      <c r="C550" s="12">
        <v>1.4871945149934624</v>
      </c>
      <c r="D550" s="5">
        <f t="shared" si="14"/>
        <v>9</v>
      </c>
      <c r="Q550" s="4">
        <v>42614</v>
      </c>
      <c r="R550" s="7">
        <v>4.9833445607992672</v>
      </c>
      <c r="S550" s="7">
        <v>14.912561399316647</v>
      </c>
      <c r="T550" s="8">
        <v>0.14945072277453181</v>
      </c>
      <c r="U550" s="7">
        <v>17.124240493893694</v>
      </c>
    </row>
    <row r="551" spans="1:21" x14ac:dyDescent="0.3">
      <c r="A551" s="4">
        <v>42644</v>
      </c>
      <c r="B551" s="13">
        <f t="shared" si="13"/>
        <v>279.74957339999997</v>
      </c>
      <c r="C551" s="12">
        <v>56.127206532983081</v>
      </c>
      <c r="D551" s="5">
        <f t="shared" si="14"/>
        <v>10</v>
      </c>
      <c r="Q551" s="4">
        <v>42644</v>
      </c>
      <c r="R551" s="7">
        <v>137.75961284885778</v>
      </c>
      <c r="S551" s="7">
        <v>165.7451925105878</v>
      </c>
      <c r="T551" s="8">
        <v>0.53196760391856301</v>
      </c>
      <c r="U551" s="7">
        <v>162.02233031076014</v>
      </c>
    </row>
    <row r="552" spans="1:21" x14ac:dyDescent="0.3">
      <c r="A552" s="4">
        <v>42675</v>
      </c>
      <c r="B552" s="13">
        <f t="shared" si="13"/>
        <v>107.0054873</v>
      </c>
      <c r="C552" s="12">
        <v>36.836317623965328</v>
      </c>
      <c r="D552" s="5">
        <f t="shared" si="14"/>
        <v>11</v>
      </c>
      <c r="Q552" s="4">
        <v>42675</v>
      </c>
      <c r="R552" s="7">
        <v>79.836275370402078</v>
      </c>
      <c r="S552" s="7">
        <v>122.18409697434869</v>
      </c>
      <c r="T552" s="8">
        <v>0.1222021643663843</v>
      </c>
      <c r="U552" s="7">
        <v>120.71426362283951</v>
      </c>
    </row>
    <row r="553" spans="1:21" x14ac:dyDescent="0.3">
      <c r="A553" s="4">
        <v>42705</v>
      </c>
      <c r="B553" s="13">
        <f t="shared" si="13"/>
        <v>170.1010191</v>
      </c>
      <c r="C553" s="12">
        <v>171.90659057814619</v>
      </c>
      <c r="D553" s="5">
        <f t="shared" si="14"/>
        <v>12</v>
      </c>
      <c r="Q553" s="4">
        <v>42705</v>
      </c>
      <c r="R553" s="7">
        <v>362.67732810479566</v>
      </c>
      <c r="S553" s="7">
        <v>343.49259878998879</v>
      </c>
      <c r="T553" s="8">
        <v>0.8754787480892634</v>
      </c>
      <c r="U553" s="7">
        <v>345.37186606232467</v>
      </c>
    </row>
    <row r="554" spans="1:21" x14ac:dyDescent="0.3">
      <c r="A554" s="4">
        <v>42736</v>
      </c>
      <c r="B554" s="13">
        <f t="shared" si="13"/>
        <v>183.9758334</v>
      </c>
      <c r="C554" s="12">
        <v>49.353252566652408</v>
      </c>
      <c r="D554" s="5">
        <f t="shared" si="14"/>
        <v>1</v>
      </c>
      <c r="Q554" s="4">
        <v>42736</v>
      </c>
      <c r="R554" s="7">
        <v>67.862080090977742</v>
      </c>
      <c r="S554" s="7">
        <v>49.288910679116157</v>
      </c>
      <c r="T554" s="8">
        <v>6.7813669507748559E-2</v>
      </c>
      <c r="U554" s="7">
        <v>47.141671632011651</v>
      </c>
    </row>
    <row r="555" spans="1:21" x14ac:dyDescent="0.3">
      <c r="A555" s="4">
        <v>42767</v>
      </c>
      <c r="B555" s="13">
        <f t="shared" si="13"/>
        <v>88.179111899999995</v>
      </c>
      <c r="C555" s="12">
        <v>37.14061779901396</v>
      </c>
      <c r="D555" s="5">
        <f t="shared" si="14"/>
        <v>2</v>
      </c>
      <c r="Q555" s="4">
        <v>42767</v>
      </c>
      <c r="R555" s="7">
        <v>72.580943168546028</v>
      </c>
      <c r="S555" s="7">
        <v>93.064643691214087</v>
      </c>
      <c r="T555" s="8">
        <v>9.4112232932805739E-2</v>
      </c>
      <c r="U555" s="7">
        <v>94.64269172077195</v>
      </c>
    </row>
    <row r="556" spans="1:21" x14ac:dyDescent="0.3">
      <c r="A556" s="4">
        <v>42795</v>
      </c>
      <c r="B556" s="13">
        <f t="shared" si="13"/>
        <v>9.8212212000000001</v>
      </c>
      <c r="C556" s="12">
        <v>55.284957907861049</v>
      </c>
      <c r="D556" s="5">
        <f t="shared" si="14"/>
        <v>3</v>
      </c>
      <c r="Q556" s="4">
        <v>42795</v>
      </c>
      <c r="R556" s="7">
        <v>117.80847643755443</v>
      </c>
      <c r="S556" s="7">
        <v>121.14860689385701</v>
      </c>
      <c r="T556" s="8">
        <v>0.39170573978653184</v>
      </c>
      <c r="U556" s="7">
        <v>120.87952921430414</v>
      </c>
    </row>
    <row r="557" spans="1:21" x14ac:dyDescent="0.3">
      <c r="A557" s="4">
        <v>42826</v>
      </c>
      <c r="B557" s="13">
        <f t="shared" si="13"/>
        <v>23.3168866</v>
      </c>
      <c r="C557" s="12">
        <v>24.341390206245695</v>
      </c>
      <c r="D557" s="5">
        <f t="shared" si="14"/>
        <v>4</v>
      </c>
      <c r="Q557" s="4">
        <v>42826</v>
      </c>
      <c r="R557" s="7">
        <v>45.839992218063067</v>
      </c>
      <c r="S557" s="7">
        <v>38.955072187420804</v>
      </c>
      <c r="T557" s="8">
        <v>2.7969087487939848E-2</v>
      </c>
      <c r="U557" s="7">
        <v>38.303181194577007</v>
      </c>
    </row>
    <row r="558" spans="1:21" x14ac:dyDescent="0.3">
      <c r="A558" s="4">
        <v>42856</v>
      </c>
      <c r="B558" s="13">
        <f t="shared" si="13"/>
        <v>5.416696</v>
      </c>
      <c r="C558" s="12">
        <v>8.8467012268665819</v>
      </c>
      <c r="D558" s="5">
        <f t="shared" si="14"/>
        <v>5</v>
      </c>
      <c r="Q558" s="4">
        <v>42856</v>
      </c>
      <c r="R558" s="7">
        <v>15.03229627367929</v>
      </c>
      <c r="S558" s="7">
        <v>20.863888371473564</v>
      </c>
      <c r="T558" s="8">
        <v>2.4139610281489515E-2</v>
      </c>
      <c r="U558" s="7">
        <v>21.550499476777816</v>
      </c>
    </row>
    <row r="559" spans="1:21" x14ac:dyDescent="0.3">
      <c r="A559" s="4">
        <v>42887</v>
      </c>
      <c r="B559" s="13">
        <f t="shared" si="13"/>
        <v>7.7626016</v>
      </c>
      <c r="C559" s="12">
        <v>3.5854059024131932</v>
      </c>
      <c r="D559" s="5">
        <f t="shared" si="14"/>
        <v>6</v>
      </c>
      <c r="Q559" s="4">
        <v>42887</v>
      </c>
      <c r="R559" s="7">
        <v>3.6326470552487122</v>
      </c>
      <c r="S559" s="7">
        <v>9.3397450568196341</v>
      </c>
      <c r="T559" s="8">
        <v>0.2216306493124898</v>
      </c>
      <c r="U559" s="7">
        <v>12.081513804799487</v>
      </c>
    </row>
    <row r="560" spans="1:21" x14ac:dyDescent="0.3">
      <c r="A560" s="4">
        <v>42917</v>
      </c>
      <c r="B560" s="13">
        <f t="shared" si="13"/>
        <v>117.76550640000001</v>
      </c>
      <c r="C560" s="12">
        <v>1.0233183810726123E-2</v>
      </c>
      <c r="D560" s="5">
        <f t="shared" si="14"/>
        <v>7</v>
      </c>
      <c r="Q560" s="4">
        <v>42917</v>
      </c>
      <c r="R560" s="7">
        <v>3.7030687822891005E-2</v>
      </c>
      <c r="S560" s="7">
        <v>0.25218592386599464</v>
      </c>
      <c r="T560" s="8">
        <v>1.1932237013498759E-2</v>
      </c>
      <c r="U560" s="7">
        <v>0.7927422600258085</v>
      </c>
    </row>
    <row r="561" spans="1:21" x14ac:dyDescent="0.3">
      <c r="A561" s="4">
        <v>42948</v>
      </c>
      <c r="B561" s="13">
        <f t="shared" si="13"/>
        <v>365.85562299999998</v>
      </c>
      <c r="C561" s="12">
        <v>21.857147416449152</v>
      </c>
      <c r="D561" s="5">
        <f t="shared" si="14"/>
        <v>8</v>
      </c>
      <c r="Q561" s="4">
        <v>42948</v>
      </c>
      <c r="R561" s="7">
        <v>118.8771164942694</v>
      </c>
      <c r="S561" s="7">
        <v>66.855419307359853</v>
      </c>
      <c r="T561" s="8">
        <v>0.94628522096630685</v>
      </c>
      <c r="U561" s="7">
        <v>77.65971803859658</v>
      </c>
    </row>
    <row r="562" spans="1:21" x14ac:dyDescent="0.3">
      <c r="A562" s="4">
        <v>42979</v>
      </c>
      <c r="B562" s="13">
        <f t="shared" si="13"/>
        <v>194.629075</v>
      </c>
      <c r="C562" s="12">
        <v>18.720952837611538</v>
      </c>
      <c r="D562" s="5">
        <f t="shared" si="14"/>
        <v>9</v>
      </c>
      <c r="Q562" s="4">
        <v>42979</v>
      </c>
      <c r="R562" s="7">
        <v>62.730838202897203</v>
      </c>
      <c r="S562" s="7">
        <v>71.536575226359275</v>
      </c>
      <c r="T562" s="8">
        <v>0.67452645685718782</v>
      </c>
      <c r="U562" s="7">
        <v>68.488352099197172</v>
      </c>
    </row>
    <row r="563" spans="1:21" x14ac:dyDescent="0.3">
      <c r="A563" s="4">
        <v>43009</v>
      </c>
      <c r="B563" s="13">
        <f t="shared" si="13"/>
        <v>340.71397519999999</v>
      </c>
      <c r="C563" s="12">
        <v>24.270324973622323</v>
      </c>
      <c r="D563" s="5">
        <f t="shared" si="14"/>
        <v>10</v>
      </c>
      <c r="Q563" s="4">
        <v>43009</v>
      </c>
      <c r="R563" s="7">
        <v>59.569516792491527</v>
      </c>
      <c r="S563" s="7">
        <v>102.27661366398701</v>
      </c>
      <c r="T563" s="8">
        <v>0.25238493852774752</v>
      </c>
      <c r="U563" s="7">
        <v>104.48952619928082</v>
      </c>
    </row>
    <row r="564" spans="1:21" x14ac:dyDescent="0.3">
      <c r="A564" s="4">
        <v>43040</v>
      </c>
      <c r="B564" s="13">
        <f t="shared" si="13"/>
        <v>402.04359829999999</v>
      </c>
      <c r="C564" s="12">
        <v>88.359291781671274</v>
      </c>
      <c r="D564" s="5">
        <f t="shared" si="14"/>
        <v>11</v>
      </c>
      <c r="Q564" s="4">
        <v>43040</v>
      </c>
      <c r="R564" s="7">
        <v>191.50330991895274</v>
      </c>
      <c r="S564" s="7">
        <v>206.5704979263258</v>
      </c>
      <c r="T564" s="8">
        <v>0.52992947999699025</v>
      </c>
      <c r="U564" s="7">
        <v>202.61657241868673</v>
      </c>
    </row>
    <row r="565" spans="1:21" x14ac:dyDescent="0.3">
      <c r="A565" s="4">
        <v>43070</v>
      </c>
      <c r="B565" s="13">
        <f t="shared" si="13"/>
        <v>131.82575180000001</v>
      </c>
      <c r="C565" s="12">
        <v>249.20793904457241</v>
      </c>
      <c r="D565" s="5">
        <f t="shared" si="14"/>
        <v>12</v>
      </c>
      <c r="Q565" s="4">
        <v>43070</v>
      </c>
      <c r="R565" s="7">
        <v>525.76267827324489</v>
      </c>
      <c r="S565" s="7">
        <v>469.39962768840218</v>
      </c>
      <c r="T565" s="8">
        <v>0.98233725104658332</v>
      </c>
      <c r="U565" s="7">
        <v>479.96509936044652</v>
      </c>
    </row>
    <row r="566" spans="1:21" x14ac:dyDescent="0.3">
      <c r="A566" s="4">
        <v>43101</v>
      </c>
      <c r="B566" s="13">
        <f t="shared" si="13"/>
        <v>85.075311400000004</v>
      </c>
      <c r="C566" s="12">
        <v>111.72187628690143</v>
      </c>
      <c r="D566" s="5">
        <f t="shared" si="14"/>
        <v>1</v>
      </c>
      <c r="Q566" s="4">
        <v>43101</v>
      </c>
      <c r="R566" s="7">
        <v>153.62065359839912</v>
      </c>
      <c r="S566" s="7">
        <v>144.7736487941938</v>
      </c>
      <c r="T566" s="8">
        <v>0.51352628125501587</v>
      </c>
      <c r="U566" s="7">
        <v>146.51084448831654</v>
      </c>
    </row>
    <row r="567" spans="1:21" x14ac:dyDescent="0.3">
      <c r="A567" s="4">
        <v>43132</v>
      </c>
      <c r="B567" s="13">
        <f t="shared" si="13"/>
        <v>104.9186133</v>
      </c>
      <c r="C567" s="12">
        <v>82.407443784177346</v>
      </c>
      <c r="D567" s="5">
        <f t="shared" si="14"/>
        <v>2</v>
      </c>
      <c r="Q567" s="4">
        <v>43132</v>
      </c>
      <c r="R567" s="7">
        <v>161.04228600428186</v>
      </c>
      <c r="S567" s="7">
        <v>172.5255966936885</v>
      </c>
      <c r="T567" s="8">
        <v>0.44517328646234677</v>
      </c>
      <c r="U567" s="7">
        <v>171.25745510953911</v>
      </c>
    </row>
    <row r="568" spans="1:21" x14ac:dyDescent="0.3">
      <c r="A568" s="4">
        <v>43160</v>
      </c>
      <c r="B568" s="13">
        <f t="shared" si="13"/>
        <v>106.8214758</v>
      </c>
      <c r="C568" s="12">
        <v>31.99912635900559</v>
      </c>
      <c r="D568" s="5">
        <f t="shared" si="14"/>
        <v>3</v>
      </c>
      <c r="Q568" s="4">
        <v>43160</v>
      </c>
      <c r="R568" s="7">
        <v>68.187956839363139</v>
      </c>
      <c r="S568" s="7">
        <v>73.119071344353813</v>
      </c>
      <c r="T568" s="8">
        <v>0.12309888303355161</v>
      </c>
      <c r="U568" s="7">
        <v>73.413784606937028</v>
      </c>
    </row>
    <row r="569" spans="1:21" x14ac:dyDescent="0.3">
      <c r="A569" s="4">
        <v>43191</v>
      </c>
      <c r="B569" s="13">
        <f t="shared" si="13"/>
        <v>30.235095699999999</v>
      </c>
      <c r="C569" s="12">
        <v>30.190973746357468</v>
      </c>
      <c r="D569" s="5">
        <f t="shared" si="14"/>
        <v>4</v>
      </c>
      <c r="Q569" s="4">
        <v>43191</v>
      </c>
      <c r="R569" s="7">
        <v>56.85599671433998</v>
      </c>
      <c r="S569" s="7">
        <v>49.701282658933032</v>
      </c>
      <c r="T569" s="8">
        <v>5.8532192747208223E-2</v>
      </c>
      <c r="U569" s="7">
        <v>49.294079371323193</v>
      </c>
    </row>
    <row r="570" spans="1:21" x14ac:dyDescent="0.3">
      <c r="A570" s="4">
        <v>43221</v>
      </c>
      <c r="B570" s="13">
        <f t="shared" si="13"/>
        <v>15.7929402</v>
      </c>
      <c r="C570" s="12">
        <v>61.228097788989629</v>
      </c>
      <c r="D570" s="5">
        <f t="shared" si="14"/>
        <v>5</v>
      </c>
      <c r="Q570" s="4">
        <v>43221</v>
      </c>
      <c r="R570" s="7">
        <v>104.03865606343039</v>
      </c>
      <c r="S570" s="7">
        <v>107.34369498899251</v>
      </c>
      <c r="T570" s="8">
        <v>0.5788926631296003</v>
      </c>
      <c r="U570" s="7">
        <v>106.13863536955212</v>
      </c>
    </row>
    <row r="571" spans="1:21" x14ac:dyDescent="0.3">
      <c r="A571" s="4">
        <v>43252</v>
      </c>
      <c r="B571" s="13">
        <f t="shared" si="13"/>
        <v>41.717884300000001</v>
      </c>
      <c r="C571" s="12">
        <v>7.427513155562349</v>
      </c>
      <c r="D571" s="5">
        <f t="shared" si="14"/>
        <v>6</v>
      </c>
      <c r="Q571" s="4">
        <v>43252</v>
      </c>
      <c r="R571" s="7">
        <v>7.5253777471093146</v>
      </c>
      <c r="S571" s="7">
        <v>14.699084432991055</v>
      </c>
      <c r="T571" s="8">
        <v>0.33492998464935048</v>
      </c>
      <c r="U571" s="7">
        <v>16.90199069746831</v>
      </c>
    </row>
    <row r="572" spans="1:21" x14ac:dyDescent="0.3">
      <c r="A572" s="4">
        <v>43282</v>
      </c>
      <c r="B572" s="13">
        <f t="shared" si="13"/>
        <v>136.0408821</v>
      </c>
      <c r="C572" s="12">
        <v>0.69151416983004321</v>
      </c>
      <c r="D572" s="5">
        <f t="shared" si="14"/>
        <v>7</v>
      </c>
      <c r="Q572" s="4">
        <v>43282</v>
      </c>
      <c r="R572" s="7">
        <v>2.5023732419661218</v>
      </c>
      <c r="S572" s="7">
        <v>5.3362735535235224</v>
      </c>
      <c r="T572" s="8">
        <v>0.17947833378966158</v>
      </c>
      <c r="U572" s="7">
        <v>7.0605381052484439</v>
      </c>
    </row>
    <row r="573" spans="1:21" x14ac:dyDescent="0.3">
      <c r="A573" s="4">
        <v>43313</v>
      </c>
      <c r="B573" s="13">
        <f t="shared" si="13"/>
        <v>88.018713199999993</v>
      </c>
      <c r="C573" s="12">
        <v>0.2362795181397814</v>
      </c>
      <c r="D573" s="5">
        <f t="shared" si="14"/>
        <v>8</v>
      </c>
      <c r="Q573" s="4">
        <v>43313</v>
      </c>
      <c r="R573" s="7">
        <v>1.2850820497268607</v>
      </c>
      <c r="S573" s="7">
        <v>18.438746780501717</v>
      </c>
      <c r="T573" s="8">
        <v>0.14184357949468715</v>
      </c>
      <c r="U573" s="7">
        <v>10.227364381419529</v>
      </c>
    </row>
    <row r="574" spans="1:21" x14ac:dyDescent="0.3">
      <c r="A574" s="4">
        <v>43344</v>
      </c>
      <c r="B574" s="13">
        <f t="shared" si="13"/>
        <v>178.457222</v>
      </c>
      <c r="C574" s="12">
        <v>43.435849947854798</v>
      </c>
      <c r="D574" s="5">
        <f t="shared" si="14"/>
        <v>9</v>
      </c>
      <c r="Q574" s="4">
        <v>43344</v>
      </c>
      <c r="R574" s="7">
        <v>145.54639920944496</v>
      </c>
      <c r="S574" s="7">
        <v>120.45329111156798</v>
      </c>
      <c r="T574" s="8">
        <v>0.89578120548632278</v>
      </c>
      <c r="U574" s="7">
        <v>118.7526097975541</v>
      </c>
    </row>
    <row r="575" spans="1:21" x14ac:dyDescent="0.3">
      <c r="A575" s="4">
        <v>43374</v>
      </c>
      <c r="B575" s="13">
        <f t="shared" si="13"/>
        <v>373.12640429999999</v>
      </c>
      <c r="C575" s="12">
        <v>2.4973863885895155E-11</v>
      </c>
      <c r="D575" s="5">
        <f t="shared" si="14"/>
        <v>10</v>
      </c>
      <c r="Q575" s="4">
        <v>43374</v>
      </c>
      <c r="R575" s="7">
        <v>6.1296295197574944E-11</v>
      </c>
      <c r="S575" s="7">
        <v>1.2786751419518195E-5</v>
      </c>
      <c r="T575" s="8">
        <v>7.917030554413919E-16</v>
      </c>
      <c r="U575" s="7">
        <v>4.8954365246819467E-3</v>
      </c>
    </row>
    <row r="576" spans="1:21" x14ac:dyDescent="0.3">
      <c r="A576" s="4">
        <v>43405</v>
      </c>
      <c r="B576" s="13">
        <f t="shared" ref="B576:B639" si="15">B195</f>
        <v>225.73365720000001</v>
      </c>
      <c r="C576" s="12">
        <v>101.9100443227217</v>
      </c>
      <c r="D576" s="5">
        <f t="shared" si="14"/>
        <v>11</v>
      </c>
      <c r="Q576" s="4">
        <v>43405</v>
      </c>
      <c r="R576" s="7">
        <v>220.87219587512232</v>
      </c>
      <c r="S576" s="7">
        <v>225.03923584449242</v>
      </c>
      <c r="T576" s="8">
        <v>0.62228358905636738</v>
      </c>
      <c r="U576" s="7">
        <v>221.61787427284796</v>
      </c>
    </row>
    <row r="577" spans="1:21" x14ac:dyDescent="0.3">
      <c r="A577" s="4">
        <v>43435</v>
      </c>
      <c r="B577" s="13">
        <f t="shared" si="15"/>
        <v>260.26605640000002</v>
      </c>
      <c r="C577" s="12">
        <v>5.2210964306141125</v>
      </c>
      <c r="D577" s="5">
        <f t="shared" si="14"/>
        <v>12</v>
      </c>
      <c r="Q577" s="4">
        <v>43435</v>
      </c>
      <c r="R577" s="7">
        <v>11.015129186520756</v>
      </c>
      <c r="S577" s="7">
        <v>18.184205385593575</v>
      </c>
      <c r="T577" s="8">
        <v>2.6118269084333862E-5</v>
      </c>
      <c r="U577" s="7">
        <v>19.74270201863909</v>
      </c>
    </row>
    <row r="578" spans="1:21" x14ac:dyDescent="0.3">
      <c r="A578" s="4">
        <v>43466</v>
      </c>
      <c r="B578" s="13">
        <f t="shared" si="15"/>
        <v>122.1456034</v>
      </c>
      <c r="C578" s="12">
        <v>65.00080901314513</v>
      </c>
      <c r="D578" s="5">
        <f t="shared" si="14"/>
        <v>1</v>
      </c>
      <c r="Q578" s="4">
        <v>43466</v>
      </c>
      <c r="R578" s="7">
        <v>89.37790070210977</v>
      </c>
      <c r="S578" s="7">
        <v>70.873158849323275</v>
      </c>
      <c r="T578" s="8">
        <v>0.15396995590042736</v>
      </c>
      <c r="U578" s="7">
        <v>69.816462522177289</v>
      </c>
    </row>
    <row r="579" spans="1:21" x14ac:dyDescent="0.3">
      <c r="A579" s="4">
        <v>43497</v>
      </c>
      <c r="B579" s="13">
        <f t="shared" si="15"/>
        <v>319.44285889999998</v>
      </c>
      <c r="C579" s="12">
        <v>25.753230485133905</v>
      </c>
      <c r="D579" s="5">
        <f t="shared" ref="D579:D642" si="16">MONTH(A579)</f>
        <v>2</v>
      </c>
      <c r="Q579" s="4">
        <v>43497</v>
      </c>
      <c r="R579" s="7">
        <v>50.327481582646044</v>
      </c>
      <c r="S579" s="7">
        <v>70.085035370761645</v>
      </c>
      <c r="T579" s="8">
        <v>3.8048361859227983E-2</v>
      </c>
      <c r="U579" s="7">
        <v>72.814685684182876</v>
      </c>
    </row>
    <row r="580" spans="1:21" x14ac:dyDescent="0.3">
      <c r="A580" s="4">
        <v>43525</v>
      </c>
      <c r="B580" s="13">
        <f t="shared" si="15"/>
        <v>29.1984888</v>
      </c>
      <c r="C580" s="12">
        <v>95.854544767644256</v>
      </c>
      <c r="D580" s="5">
        <f t="shared" si="16"/>
        <v>3</v>
      </c>
      <c r="Q580" s="4">
        <v>43525</v>
      </c>
      <c r="R580" s="7">
        <v>204.25950034206014</v>
      </c>
      <c r="S580" s="7">
        <v>201.38419361940669</v>
      </c>
      <c r="T580" s="8">
        <v>0.78406152790987083</v>
      </c>
      <c r="U580" s="7">
        <v>201.03797195556655</v>
      </c>
    </row>
    <row r="581" spans="1:21" x14ac:dyDescent="0.3">
      <c r="A581" s="4">
        <v>43556</v>
      </c>
      <c r="B581" s="13">
        <f t="shared" si="15"/>
        <v>19.3253485</v>
      </c>
      <c r="C581" s="12">
        <v>58.503864740487266</v>
      </c>
      <c r="D581" s="5">
        <f t="shared" si="16"/>
        <v>4</v>
      </c>
      <c r="Q581" s="4">
        <v>43556</v>
      </c>
      <c r="R581" s="7">
        <v>110.1751659090708</v>
      </c>
      <c r="S581" s="7">
        <v>105.04399556659648</v>
      </c>
      <c r="T581" s="8">
        <v>0.3576370573098489</v>
      </c>
      <c r="U581" s="7">
        <v>105.63228249864684</v>
      </c>
    </row>
    <row r="582" spans="1:21" x14ac:dyDescent="0.3">
      <c r="A582" s="4">
        <v>43586</v>
      </c>
      <c r="B582" s="13">
        <f t="shared" si="15"/>
        <v>33.942540899999997</v>
      </c>
      <c r="C582" s="12">
        <v>64.354316593380517</v>
      </c>
      <c r="D582" s="5">
        <f t="shared" si="16"/>
        <v>5</v>
      </c>
      <c r="Q582" s="4">
        <v>43586</v>
      </c>
      <c r="R582" s="7">
        <v>109.35072053569202</v>
      </c>
      <c r="S582" s="7">
        <v>111.96655179202776</v>
      </c>
      <c r="T582" s="8">
        <v>0.60762461397827816</v>
      </c>
      <c r="U582" s="7">
        <v>110.77664327296935</v>
      </c>
    </row>
    <row r="583" spans="1:21" x14ac:dyDescent="0.3">
      <c r="A583" s="4">
        <v>43617</v>
      </c>
      <c r="B583" s="13">
        <f t="shared" si="15"/>
        <v>23.671156</v>
      </c>
      <c r="C583" s="12">
        <v>14.22506499511656</v>
      </c>
      <c r="D583" s="5">
        <f t="shared" si="16"/>
        <v>6</v>
      </c>
      <c r="Q583" s="4">
        <v>43617</v>
      </c>
      <c r="R583" s="7">
        <v>14.412493835203309</v>
      </c>
      <c r="S583" s="7">
        <v>22.030071109658635</v>
      </c>
      <c r="T583" s="8">
        <v>0.47277986796603205</v>
      </c>
      <c r="U583" s="7">
        <v>23.28758819637423</v>
      </c>
    </row>
    <row r="584" spans="1:21" x14ac:dyDescent="0.3">
      <c r="A584" s="4">
        <v>43647</v>
      </c>
      <c r="B584" s="13">
        <f t="shared" si="15"/>
        <v>219.49936270000001</v>
      </c>
      <c r="C584" s="12">
        <v>0.16980405587219127</v>
      </c>
      <c r="D584" s="5">
        <f t="shared" si="16"/>
        <v>7</v>
      </c>
      <c r="Q584" s="4">
        <v>43647</v>
      </c>
      <c r="R584" s="7">
        <v>0.61446770627465919</v>
      </c>
      <c r="S584" s="7">
        <v>1.929544683978351</v>
      </c>
      <c r="T584" s="8">
        <v>7.3476004633215644E-2</v>
      </c>
      <c r="U584" s="7">
        <v>3.3164522233042497</v>
      </c>
    </row>
    <row r="585" spans="1:21" x14ac:dyDescent="0.3">
      <c r="A585" s="4">
        <v>43678</v>
      </c>
      <c r="B585" s="13">
        <f t="shared" si="15"/>
        <v>249.34859309999999</v>
      </c>
      <c r="C585" s="12">
        <v>0.49265192419625214</v>
      </c>
      <c r="D585" s="5">
        <f t="shared" si="16"/>
        <v>8</v>
      </c>
      <c r="Q585" s="4">
        <v>43678</v>
      </c>
      <c r="R585" s="7">
        <v>2.6794457239982394</v>
      </c>
      <c r="S585" s="7">
        <v>22.726069393523183</v>
      </c>
      <c r="T585" s="8">
        <v>0.2084351148782401</v>
      </c>
      <c r="U585" s="7">
        <v>13.301008836382891</v>
      </c>
    </row>
    <row r="586" spans="1:21" x14ac:dyDescent="0.3">
      <c r="A586" s="4">
        <v>43709</v>
      </c>
      <c r="B586" s="13">
        <f t="shared" si="15"/>
        <v>182.74890590000001</v>
      </c>
      <c r="C586" s="12">
        <v>1.2736423177557301</v>
      </c>
      <c r="D586" s="5">
        <f t="shared" si="16"/>
        <v>9</v>
      </c>
      <c r="Q586" s="4">
        <v>43709</v>
      </c>
      <c r="R586" s="7">
        <v>4.2677662219724439</v>
      </c>
      <c r="S586" s="7">
        <v>13.547988782751968</v>
      </c>
      <c r="T586" s="8">
        <v>0.13462990324632751</v>
      </c>
      <c r="U586" s="7">
        <v>15.870751412829694</v>
      </c>
    </row>
    <row r="587" spans="1:21" x14ac:dyDescent="0.3">
      <c r="A587" s="4">
        <v>43739</v>
      </c>
      <c r="B587" s="13">
        <f t="shared" si="15"/>
        <v>157.57980079999999</v>
      </c>
      <c r="C587" s="12">
        <v>33.049147931160505</v>
      </c>
      <c r="D587" s="5">
        <f t="shared" si="16"/>
        <v>10</v>
      </c>
      <c r="Q587" s="4">
        <v>43739</v>
      </c>
      <c r="R587" s="7">
        <v>81.116415820656087</v>
      </c>
      <c r="S587" s="7">
        <v>122.17675363550954</v>
      </c>
      <c r="T587" s="8">
        <v>0.3399089327250413</v>
      </c>
      <c r="U587" s="7">
        <v>122.15419923950743</v>
      </c>
    </row>
    <row r="588" spans="1:21" x14ac:dyDescent="0.3">
      <c r="A588" s="4">
        <v>43770</v>
      </c>
      <c r="B588" s="13">
        <f t="shared" si="15"/>
        <v>167.8532773</v>
      </c>
      <c r="C588" s="12">
        <v>51.744037948083047</v>
      </c>
      <c r="D588" s="5">
        <f t="shared" si="16"/>
        <v>11</v>
      </c>
      <c r="Q588" s="4">
        <v>43770</v>
      </c>
      <c r="R588" s="7">
        <v>112.14615164769003</v>
      </c>
      <c r="S588" s="7">
        <v>149.82750948890595</v>
      </c>
      <c r="T588" s="8">
        <v>0.23542943940551017</v>
      </c>
      <c r="U588" s="7">
        <v>146.70738073166794</v>
      </c>
    </row>
    <row r="589" spans="1:21" x14ac:dyDescent="0.3">
      <c r="A589" s="4">
        <v>43800</v>
      </c>
      <c r="B589" s="13">
        <f t="shared" si="15"/>
        <v>197.7955997</v>
      </c>
      <c r="C589" s="12">
        <v>97.704533475916733</v>
      </c>
      <c r="D589" s="5">
        <f t="shared" si="16"/>
        <v>12</v>
      </c>
      <c r="Q589" s="4">
        <v>43800</v>
      </c>
      <c r="R589" s="7">
        <v>206.13066099209686</v>
      </c>
      <c r="S589" s="7">
        <v>213.57869860614335</v>
      </c>
      <c r="T589" s="8">
        <v>0.4699680519785322</v>
      </c>
      <c r="U589" s="7">
        <v>211.55419517003506</v>
      </c>
    </row>
    <row r="590" spans="1:21" x14ac:dyDescent="0.3">
      <c r="A590" s="4">
        <v>43831</v>
      </c>
      <c r="B590" s="13">
        <f t="shared" si="15"/>
        <v>101.5655333</v>
      </c>
      <c r="C590" s="12">
        <v>133.7509875884281</v>
      </c>
      <c r="D590" s="5">
        <f t="shared" si="16"/>
        <v>1</v>
      </c>
      <c r="Q590" s="4">
        <v>43831</v>
      </c>
      <c r="R590" s="7">
        <v>183.91128770520541</v>
      </c>
      <c r="S590" s="7">
        <v>183.55466114356514</v>
      </c>
      <c r="T590" s="8">
        <v>0.66523010463523247</v>
      </c>
      <c r="U590" s="7">
        <v>185.73052722633392</v>
      </c>
    </row>
    <row r="591" spans="1:21" x14ac:dyDescent="0.3">
      <c r="A591" s="4">
        <v>43862</v>
      </c>
      <c r="B591" s="13">
        <f t="shared" si="15"/>
        <v>38.190784100000002</v>
      </c>
      <c r="C591" s="12">
        <v>17.675315891392518</v>
      </c>
      <c r="D591" s="5">
        <f t="shared" si="16"/>
        <v>2</v>
      </c>
      <c r="Q591" s="4">
        <v>43862</v>
      </c>
      <c r="R591" s="7">
        <v>34.541458226182712</v>
      </c>
      <c r="S591" s="7">
        <v>52.362643890259193</v>
      </c>
      <c r="T591" s="8">
        <v>1.3831671472616923E-2</v>
      </c>
      <c r="U591" s="7">
        <v>55.937402935836872</v>
      </c>
    </row>
    <row r="592" spans="1:21" x14ac:dyDescent="0.3">
      <c r="A592" s="4">
        <v>43891</v>
      </c>
      <c r="B592" s="13">
        <f t="shared" si="15"/>
        <v>20.4649234</v>
      </c>
      <c r="C592" s="12">
        <v>132.43479263037437</v>
      </c>
      <c r="D592" s="5">
        <f t="shared" si="16"/>
        <v>3</v>
      </c>
      <c r="Q592" s="4">
        <v>43891</v>
      </c>
      <c r="R592" s="7">
        <v>282.20951480347247</v>
      </c>
      <c r="S592" s="7">
        <v>271.4352627086127</v>
      </c>
      <c r="T592" s="8">
        <v>0.93448701726674466</v>
      </c>
      <c r="U592" s="7">
        <v>271.93841544049047</v>
      </c>
    </row>
    <row r="593" spans="1:21" x14ac:dyDescent="0.3">
      <c r="A593" s="4">
        <v>43922</v>
      </c>
      <c r="B593" s="13">
        <f t="shared" si="15"/>
        <v>1.6851940999999999</v>
      </c>
      <c r="C593" s="12">
        <v>153.50257151294508</v>
      </c>
      <c r="D593" s="5">
        <f t="shared" si="16"/>
        <v>4</v>
      </c>
      <c r="Q593" s="4">
        <v>43922</v>
      </c>
      <c r="R593" s="7">
        <v>289.07784740251111</v>
      </c>
      <c r="S593" s="7">
        <v>312.80106792004966</v>
      </c>
      <c r="T593" s="8">
        <v>0.972862327335688</v>
      </c>
      <c r="U593" s="7">
        <v>309.65754363578219</v>
      </c>
    </row>
    <row r="594" spans="1:21" x14ac:dyDescent="0.3">
      <c r="A594" s="4">
        <v>43952</v>
      </c>
      <c r="B594" s="13">
        <f t="shared" si="15"/>
        <v>2.5017209</v>
      </c>
      <c r="C594" s="12">
        <v>100.59813953703265</v>
      </c>
      <c r="D594" s="5">
        <f t="shared" si="16"/>
        <v>5</v>
      </c>
      <c r="Q594" s="4">
        <v>43952</v>
      </c>
      <c r="R594" s="7">
        <v>170.93614889006707</v>
      </c>
      <c r="S594" s="7">
        <v>163.4409073816058</v>
      </c>
      <c r="T594" s="8">
        <v>0.84066088187072396</v>
      </c>
      <c r="U594" s="7">
        <v>163.30494652763716</v>
      </c>
    </row>
    <row r="595" spans="1:21" x14ac:dyDescent="0.3">
      <c r="A595" s="4">
        <v>43983</v>
      </c>
      <c r="B595" s="13">
        <f t="shared" si="15"/>
        <v>36.899288900000002</v>
      </c>
      <c r="C595" s="12">
        <v>7.5166497845202764</v>
      </c>
      <c r="D595" s="5">
        <f t="shared" si="16"/>
        <v>6</v>
      </c>
      <c r="Q595" s="4">
        <v>43983</v>
      </c>
      <c r="R595" s="7">
        <v>7.6156888364286228</v>
      </c>
      <c r="S595" s="7">
        <v>14.808678095173645</v>
      </c>
      <c r="T595" s="8">
        <v>0.33713946644188003</v>
      </c>
      <c r="U595" s="7">
        <v>16.998421657348153</v>
      </c>
    </row>
    <row r="596" spans="1:21" x14ac:dyDescent="0.3">
      <c r="A596" s="4">
        <v>44013</v>
      </c>
      <c r="B596" s="13">
        <f t="shared" si="15"/>
        <v>155.0838957</v>
      </c>
      <c r="C596" s="12">
        <v>0</v>
      </c>
      <c r="D596" s="5">
        <f t="shared" si="16"/>
        <v>7</v>
      </c>
      <c r="Q596" s="4">
        <v>44013</v>
      </c>
      <c r="R596" s="7">
        <v>0</v>
      </c>
      <c r="S596" s="7">
        <v>0</v>
      </c>
      <c r="T596" s="8">
        <v>0</v>
      </c>
      <c r="U596" s="7">
        <v>0</v>
      </c>
    </row>
    <row r="597" spans="1:21" x14ac:dyDescent="0.3">
      <c r="A597" s="4">
        <v>44044</v>
      </c>
      <c r="B597" s="13">
        <f t="shared" si="15"/>
        <v>301.68988339999999</v>
      </c>
      <c r="C597" s="12">
        <v>1.1359861499652453E-9</v>
      </c>
      <c r="D597" s="5">
        <f t="shared" si="16"/>
        <v>8</v>
      </c>
      <c r="Q597" s="4">
        <v>44044</v>
      </c>
      <c r="R597" s="7">
        <v>6.1784255425602887E-9</v>
      </c>
      <c r="S597" s="7">
        <v>7.9271284600078512E-2</v>
      </c>
      <c r="T597" s="8">
        <v>5.1117854489571621E-6</v>
      </c>
      <c r="U597" s="7">
        <v>3.5792360302452655E-2</v>
      </c>
    </row>
    <row r="598" spans="1:21" x14ac:dyDescent="0.3">
      <c r="A598" s="4">
        <v>44075</v>
      </c>
      <c r="B598" s="13">
        <f t="shared" si="15"/>
        <v>262.92180359999998</v>
      </c>
      <c r="C598" s="12">
        <v>67.680583975743573</v>
      </c>
      <c r="D598" s="5">
        <f t="shared" si="16"/>
        <v>9</v>
      </c>
      <c r="Q598" s="4">
        <v>44075</v>
      </c>
      <c r="R598" s="7">
        <v>226.78652094727664</v>
      </c>
      <c r="S598" s="7">
        <v>158.51320314081622</v>
      </c>
      <c r="T598" s="8">
        <v>0.96376850169371031</v>
      </c>
      <c r="U598" s="7">
        <v>162.59179518999443</v>
      </c>
    </row>
    <row r="599" spans="1:21" x14ac:dyDescent="0.3">
      <c r="A599" s="4">
        <v>44105</v>
      </c>
      <c r="B599" s="13">
        <f t="shared" si="15"/>
        <v>31.209526700000001</v>
      </c>
      <c r="C599" s="12">
        <v>148.21500338148311</v>
      </c>
      <c r="D599" s="5">
        <f t="shared" si="16"/>
        <v>10</v>
      </c>
      <c r="Q599" s="4">
        <v>44105</v>
      </c>
      <c r="R599" s="7">
        <v>363.78153743009864</v>
      </c>
      <c r="S599" s="7">
        <v>289.9254620420827</v>
      </c>
      <c r="T599" s="8">
        <v>0.89229353554178781</v>
      </c>
      <c r="U599" s="7">
        <v>287.74424681679545</v>
      </c>
    </row>
    <row r="600" spans="1:21" x14ac:dyDescent="0.3">
      <c r="A600" s="4">
        <v>44136</v>
      </c>
      <c r="B600" s="13">
        <f t="shared" si="15"/>
        <v>211.0095087</v>
      </c>
      <c r="C600" s="12">
        <v>96.184441703371832</v>
      </c>
      <c r="D600" s="5">
        <f t="shared" si="16"/>
        <v>11</v>
      </c>
      <c r="Q600" s="4">
        <v>44136</v>
      </c>
      <c r="R600" s="7">
        <v>208.46295366893284</v>
      </c>
      <c r="S600" s="7">
        <v>217.36341719075685</v>
      </c>
      <c r="T600" s="8">
        <v>0.5848548635230586</v>
      </c>
      <c r="U600" s="7">
        <v>213.67125065634568</v>
      </c>
    </row>
    <row r="601" spans="1:21" x14ac:dyDescent="0.3">
      <c r="A601" s="4">
        <v>44166</v>
      </c>
      <c r="B601" s="13">
        <f t="shared" si="15"/>
        <v>146.7957203</v>
      </c>
      <c r="C601" s="12">
        <v>113.91444322653115</v>
      </c>
      <c r="D601" s="5">
        <f t="shared" si="16"/>
        <v>12</v>
      </c>
      <c r="Q601" s="4">
        <v>44166</v>
      </c>
      <c r="R601" s="7">
        <v>240.32927279284814</v>
      </c>
      <c r="S601" s="7">
        <v>243.00853647795344</v>
      </c>
      <c r="T601" s="8">
        <v>0.59301364881963436</v>
      </c>
      <c r="U601" s="7">
        <v>241.38407997759558</v>
      </c>
    </row>
    <row r="602" spans="1:21" x14ac:dyDescent="0.3">
      <c r="A602" s="4">
        <v>44197</v>
      </c>
      <c r="B602" s="13">
        <f t="shared" si="15"/>
        <v>134.37596919999999</v>
      </c>
      <c r="C602" s="12">
        <v>234.18276845477524</v>
      </c>
      <c r="D602" s="5">
        <f t="shared" si="16"/>
        <v>1</v>
      </c>
      <c r="Q602" s="4">
        <v>44197</v>
      </c>
      <c r="R602" s="7">
        <v>322.00774948605994</v>
      </c>
      <c r="S602" s="7">
        <v>384.21499042802708</v>
      </c>
      <c r="T602" s="8">
        <v>0.96555402550963521</v>
      </c>
      <c r="U602" s="7">
        <v>378.04542223817322</v>
      </c>
    </row>
    <row r="603" spans="1:21" x14ac:dyDescent="0.3">
      <c r="A603" s="4">
        <v>44228</v>
      </c>
      <c r="B603" s="13">
        <f t="shared" si="15"/>
        <v>110.1229297</v>
      </c>
      <c r="C603" s="12">
        <v>121.49492162279786</v>
      </c>
      <c r="D603" s="5">
        <f t="shared" si="16"/>
        <v>2</v>
      </c>
      <c r="Q603" s="4">
        <v>44228</v>
      </c>
      <c r="R603" s="7">
        <v>237.42782226431783</v>
      </c>
      <c r="S603" s="7">
        <v>233.03881403483541</v>
      </c>
      <c r="T603" s="8">
        <v>0.70953292272205259</v>
      </c>
      <c r="U603" s="7">
        <v>231.47327250100156</v>
      </c>
    </row>
    <row r="604" spans="1:21" x14ac:dyDescent="0.3">
      <c r="A604" s="4">
        <v>44256</v>
      </c>
      <c r="B604" s="13">
        <f t="shared" si="15"/>
        <v>54.116217499999998</v>
      </c>
      <c r="C604" s="12">
        <v>234.01883603073659</v>
      </c>
      <c r="D604" s="5">
        <f t="shared" si="16"/>
        <v>3</v>
      </c>
      <c r="Q604" s="4">
        <v>44256</v>
      </c>
      <c r="R604" s="7">
        <v>498.67818614275927</v>
      </c>
      <c r="S604" s="7">
        <v>459.18227537998303</v>
      </c>
      <c r="T604" s="8">
        <v>0.99872619390950967</v>
      </c>
      <c r="U604" s="7">
        <v>465.63543047618271</v>
      </c>
    </row>
    <row r="605" spans="1:21" x14ac:dyDescent="0.3">
      <c r="A605" s="4">
        <v>44287</v>
      </c>
      <c r="B605" s="13">
        <f t="shared" si="15"/>
        <v>68.824260300000006</v>
      </c>
      <c r="C605" s="12">
        <v>116.21381971053789</v>
      </c>
      <c r="D605" s="5">
        <f t="shared" si="16"/>
        <v>4</v>
      </c>
      <c r="Q605" s="4">
        <v>44287</v>
      </c>
      <c r="R605" s="7">
        <v>218.85523160446022</v>
      </c>
      <c r="S605" s="7">
        <v>228.32484831762739</v>
      </c>
      <c r="T605" s="8">
        <v>0.88160476143830246</v>
      </c>
      <c r="U605" s="7">
        <v>228.03346917192749</v>
      </c>
    </row>
    <row r="606" spans="1:21" x14ac:dyDescent="0.3">
      <c r="A606" s="4">
        <v>44317</v>
      </c>
      <c r="B606" s="13">
        <f t="shared" si="15"/>
        <v>3.9353321000000001</v>
      </c>
      <c r="C606" s="12">
        <v>38.629188796039543</v>
      </c>
      <c r="D606" s="5">
        <f t="shared" si="16"/>
        <v>5</v>
      </c>
      <c r="Q606" s="4">
        <v>44317</v>
      </c>
      <c r="R606" s="7">
        <v>65.63863703574313</v>
      </c>
      <c r="S606" s="7">
        <v>72.678241125865782</v>
      </c>
      <c r="T606" s="8">
        <v>0.33273521737409356</v>
      </c>
      <c r="U606" s="7">
        <v>71.785584096196942</v>
      </c>
    </row>
    <row r="607" spans="1:21" x14ac:dyDescent="0.3">
      <c r="A607" s="4">
        <v>44348</v>
      </c>
      <c r="B607" s="13">
        <f t="shared" si="15"/>
        <v>34.574915599999997</v>
      </c>
      <c r="C607" s="12">
        <v>13.367826933972539</v>
      </c>
      <c r="D607" s="5">
        <f t="shared" si="16"/>
        <v>6</v>
      </c>
      <c r="Q607" s="4">
        <v>44348</v>
      </c>
      <c r="R607" s="7">
        <v>13.543960842504768</v>
      </c>
      <c r="S607" s="7">
        <v>21.193747550572386</v>
      </c>
      <c r="T607" s="8">
        <v>0.4580893895300911</v>
      </c>
      <c r="U607" s="7">
        <v>22.561935743799825</v>
      </c>
    </row>
    <row r="608" spans="1:21" x14ac:dyDescent="0.3">
      <c r="A608" s="4">
        <v>44378</v>
      </c>
      <c r="B608" s="13">
        <f t="shared" si="15"/>
        <v>159.09879670000001</v>
      </c>
      <c r="C608" s="12">
        <v>3.5370650635741137</v>
      </c>
      <c r="D608" s="5">
        <f t="shared" si="16"/>
        <v>7</v>
      </c>
      <c r="Q608" s="4">
        <v>44378</v>
      </c>
      <c r="R608" s="7">
        <v>12.799530879253608</v>
      </c>
      <c r="S608" s="7">
        <v>17.407237116780671</v>
      </c>
      <c r="T608" s="8">
        <v>0.4698928728424136</v>
      </c>
      <c r="U608" s="7">
        <v>18.357902179574673</v>
      </c>
    </row>
    <row r="609" spans="1:21" x14ac:dyDescent="0.3">
      <c r="A609" s="4">
        <v>44409</v>
      </c>
      <c r="B609" s="13">
        <f t="shared" si="15"/>
        <v>220.115655</v>
      </c>
      <c r="C609" s="12">
        <v>0</v>
      </c>
      <c r="D609" s="5">
        <f t="shared" si="16"/>
        <v>8</v>
      </c>
      <c r="Q609" s="4">
        <v>44409</v>
      </c>
      <c r="R609" s="7">
        <v>0</v>
      </c>
      <c r="S609" s="7">
        <v>0</v>
      </c>
      <c r="T609" s="8">
        <v>0</v>
      </c>
      <c r="U609" s="7">
        <v>0</v>
      </c>
    </row>
    <row r="610" spans="1:21" x14ac:dyDescent="0.3">
      <c r="A610" s="4">
        <v>44440</v>
      </c>
      <c r="B610" s="13">
        <f t="shared" si="15"/>
        <v>150.13712390000001</v>
      </c>
      <c r="C610" s="12">
        <v>11.952297543757602</v>
      </c>
      <c r="D610" s="5">
        <f t="shared" si="16"/>
        <v>9</v>
      </c>
      <c r="Q610" s="4">
        <v>44440</v>
      </c>
      <c r="R610" s="7">
        <v>40.050186006771767</v>
      </c>
      <c r="S610" s="7">
        <v>54.185332639042514</v>
      </c>
      <c r="T610" s="8">
        <v>0.54311835001856412</v>
      </c>
      <c r="U610" s="7">
        <v>52.209935447124344</v>
      </c>
    </row>
    <row r="611" spans="1:21" x14ac:dyDescent="0.3">
      <c r="A611" s="4">
        <v>44470</v>
      </c>
      <c r="B611" s="13">
        <f t="shared" si="15"/>
        <v>8.3972560999999999</v>
      </c>
      <c r="C611" s="12">
        <v>7.5807552741025619</v>
      </c>
      <c r="D611" s="5">
        <f t="shared" si="16"/>
        <v>10</v>
      </c>
      <c r="Q611" s="4">
        <v>44470</v>
      </c>
      <c r="R611" s="7">
        <v>18.60634042153178</v>
      </c>
      <c r="S611" s="7">
        <v>52.331667273939665</v>
      </c>
      <c r="T611" s="8">
        <v>7.1347398650670663E-2</v>
      </c>
      <c r="U611" s="7">
        <v>60.655234013023303</v>
      </c>
    </row>
    <row r="612" spans="1:21" x14ac:dyDescent="0.3">
      <c r="A612" s="4">
        <v>44501</v>
      </c>
      <c r="B612" s="13">
        <f t="shared" si="15"/>
        <v>71.705783100000005</v>
      </c>
      <c r="C612" s="12">
        <v>99.107837886549419</v>
      </c>
      <c r="D612" s="5">
        <f t="shared" si="16"/>
        <v>11</v>
      </c>
      <c r="Q612" s="4">
        <v>44501</v>
      </c>
      <c r="R612" s="7">
        <v>214.79890356163071</v>
      </c>
      <c r="S612" s="7">
        <v>221.30472379657971</v>
      </c>
      <c r="T612" s="8">
        <v>0.60426473821802618</v>
      </c>
      <c r="U612" s="7">
        <v>217.74277844370235</v>
      </c>
    </row>
    <row r="613" spans="1:21" x14ac:dyDescent="0.3">
      <c r="A613" s="4">
        <v>44531</v>
      </c>
      <c r="B613" s="13">
        <f t="shared" si="15"/>
        <v>21.899130799999998</v>
      </c>
      <c r="C613" s="12">
        <v>156.08940148958942</v>
      </c>
      <c r="D613" s="5">
        <f t="shared" si="16"/>
        <v>12</v>
      </c>
      <c r="Q613" s="4">
        <v>44531</v>
      </c>
      <c r="R613" s="7">
        <v>329.3072527779957</v>
      </c>
      <c r="S613" s="7">
        <v>316.71160211277299</v>
      </c>
      <c r="T613" s="8">
        <v>0.8226573484494738</v>
      </c>
      <c r="U613" s="7">
        <v>317.34402349031114</v>
      </c>
    </row>
    <row r="614" spans="1:21" x14ac:dyDescent="0.3">
      <c r="A614" s="4">
        <v>44562</v>
      </c>
      <c r="B614" s="13">
        <f t="shared" si="15"/>
        <v>136.41058849999999</v>
      </c>
      <c r="C614" s="12">
        <v>288.76121600624202</v>
      </c>
      <c r="D614" s="5">
        <f t="shared" si="16"/>
        <v>1</v>
      </c>
      <c r="Q614" s="4">
        <v>44562</v>
      </c>
      <c r="R614" s="7">
        <v>397.0546164372667</v>
      </c>
      <c r="S614" s="7">
        <v>506.48201254309697</v>
      </c>
      <c r="T614" s="8">
        <v>0.9921844597704359</v>
      </c>
      <c r="U614" s="7">
        <v>488.2717611051749</v>
      </c>
    </row>
    <row r="615" spans="1:21" x14ac:dyDescent="0.3">
      <c r="A615" s="4">
        <v>44593</v>
      </c>
      <c r="B615" s="13">
        <f t="shared" si="15"/>
        <v>137.04698339999999</v>
      </c>
      <c r="C615" s="12">
        <v>161.46936407312751</v>
      </c>
      <c r="D615" s="5">
        <f t="shared" si="16"/>
        <v>2</v>
      </c>
      <c r="Q615" s="4">
        <v>44593</v>
      </c>
      <c r="R615" s="7">
        <v>315.54668262852852</v>
      </c>
      <c r="S615" s="7">
        <v>290.4719123206275</v>
      </c>
      <c r="T615" s="8">
        <v>0.86842566118644726</v>
      </c>
      <c r="U615" s="7">
        <v>290.26351538550949</v>
      </c>
    </row>
    <row r="616" spans="1:21" x14ac:dyDescent="0.3">
      <c r="A616" s="4">
        <v>44621</v>
      </c>
      <c r="B616" s="13">
        <f t="shared" si="15"/>
        <v>3.6915695999999998</v>
      </c>
      <c r="C616" s="12">
        <v>35.884748183889236</v>
      </c>
      <c r="D616" s="5">
        <f t="shared" si="16"/>
        <v>3</v>
      </c>
      <c r="Q616" s="4">
        <v>44621</v>
      </c>
      <c r="R616" s="7">
        <v>76.467952059129104</v>
      </c>
      <c r="S616" s="7">
        <v>81.281520396449991</v>
      </c>
      <c r="T616" s="8">
        <v>0.16206289825672471</v>
      </c>
      <c r="U616" s="7">
        <v>81.458876918276417</v>
      </c>
    </row>
    <row r="617" spans="1:21" x14ac:dyDescent="0.3">
      <c r="A617" s="4">
        <v>44652</v>
      </c>
      <c r="B617" s="13">
        <f t="shared" si="15"/>
        <v>3.9328050999999999</v>
      </c>
      <c r="C617" s="12">
        <v>126.66990549769243</v>
      </c>
      <c r="D617" s="5">
        <f t="shared" si="16"/>
        <v>4</v>
      </c>
      <c r="Q617" s="4">
        <v>44652</v>
      </c>
      <c r="R617" s="7">
        <v>238.54625529100298</v>
      </c>
      <c r="S617" s="7">
        <v>251.69696295697005</v>
      </c>
      <c r="T617" s="8">
        <v>0.91993808767072771</v>
      </c>
      <c r="U617" s="7">
        <v>250.78064436128699</v>
      </c>
    </row>
    <row r="618" spans="1:21" x14ac:dyDescent="0.3">
      <c r="A618" s="4">
        <v>44682</v>
      </c>
      <c r="B618" s="13">
        <f t="shared" si="15"/>
        <v>64.961285000000004</v>
      </c>
      <c r="C618" s="12">
        <v>13.749199926678562</v>
      </c>
      <c r="D618" s="5">
        <f t="shared" si="16"/>
        <v>5</v>
      </c>
      <c r="Q618" s="4">
        <v>44682</v>
      </c>
      <c r="R618" s="7">
        <v>23.362611839564355</v>
      </c>
      <c r="S618" s="7">
        <v>30.306599924852513</v>
      </c>
      <c r="T618" s="8">
        <v>5.7859925181309405E-2</v>
      </c>
      <c r="U618" s="7">
        <v>30.680701716076527</v>
      </c>
    </row>
    <row r="619" spans="1:21" x14ac:dyDescent="0.3">
      <c r="A619" s="4">
        <v>44713</v>
      </c>
      <c r="B619" s="13">
        <f t="shared" si="15"/>
        <v>28.739776299999999</v>
      </c>
      <c r="C619" s="12">
        <v>2.8792695884476522</v>
      </c>
      <c r="D619" s="5">
        <f t="shared" si="16"/>
        <v>6</v>
      </c>
      <c r="Q619" s="4">
        <v>44713</v>
      </c>
      <c r="R619" s="7">
        <v>2.9172067198031195</v>
      </c>
      <c r="S619" s="7">
        <v>8.1474461214713809</v>
      </c>
      <c r="T619" s="8">
        <v>0.19507376563610987</v>
      </c>
      <c r="U619" s="7">
        <v>10.962732386618301</v>
      </c>
    </row>
    <row r="620" spans="1:21" x14ac:dyDescent="0.3">
      <c r="A620" s="4">
        <v>44743</v>
      </c>
      <c r="B620" s="13">
        <f t="shared" si="15"/>
        <v>114.8667864</v>
      </c>
      <c r="C620" s="12">
        <v>0</v>
      </c>
      <c r="D620" s="5">
        <f t="shared" si="16"/>
        <v>7</v>
      </c>
      <c r="Q620" s="4">
        <v>44743</v>
      </c>
      <c r="R620" s="7">
        <v>0</v>
      </c>
      <c r="S620" s="7">
        <v>0</v>
      </c>
      <c r="T620" s="8">
        <v>0</v>
      </c>
      <c r="U620" s="7">
        <v>0</v>
      </c>
    </row>
    <row r="621" spans="1:21" x14ac:dyDescent="0.3">
      <c r="A621" s="4">
        <v>44774</v>
      </c>
      <c r="B621" s="13">
        <f t="shared" si="15"/>
        <v>233.36038550000001</v>
      </c>
      <c r="C621" s="12">
        <v>6.4189259959675917</v>
      </c>
      <c r="D621" s="5">
        <f t="shared" si="16"/>
        <v>8</v>
      </c>
      <c r="Q621" s="4">
        <v>44774</v>
      </c>
      <c r="R621" s="7">
        <v>34.911390715902428</v>
      </c>
      <c r="S621" s="7">
        <v>47.177729546891229</v>
      </c>
      <c r="T621" s="8">
        <v>0.69389288813775152</v>
      </c>
      <c r="U621" s="7">
        <v>39.424555533637751</v>
      </c>
    </row>
    <row r="622" spans="1:21" x14ac:dyDescent="0.3">
      <c r="A622" s="4">
        <v>44805</v>
      </c>
      <c r="B622" s="13">
        <f t="shared" si="15"/>
        <v>452.79219110000003</v>
      </c>
      <c r="C622" s="12">
        <v>1.2261430654803009E-2</v>
      </c>
      <c r="D622" s="5">
        <f t="shared" si="16"/>
        <v>9</v>
      </c>
      <c r="Q622" s="4">
        <v>44805</v>
      </c>
      <c r="R622" s="7">
        <v>4.1086040289422782E-2</v>
      </c>
      <c r="S622" s="7">
        <v>0.76466827104136026</v>
      </c>
      <c r="T622" s="8">
        <v>5.431871062120115E-3</v>
      </c>
      <c r="U622" s="7">
        <v>1.9558086572924238</v>
      </c>
    </row>
    <row r="623" spans="1:21" x14ac:dyDescent="0.3">
      <c r="A623" s="4">
        <v>44835</v>
      </c>
      <c r="B623" s="13">
        <f t="shared" si="15"/>
        <v>121.4150317</v>
      </c>
      <c r="C623" s="12">
        <v>14.352871285518619</v>
      </c>
      <c r="D623" s="5">
        <f t="shared" si="16"/>
        <v>10</v>
      </c>
      <c r="Q623" s="4">
        <v>44835</v>
      </c>
      <c r="R623" s="7">
        <v>35.227942270752536</v>
      </c>
      <c r="S623" s="7">
        <v>75.579580469528238</v>
      </c>
      <c r="T623" s="8">
        <v>0.14573837969216197</v>
      </c>
      <c r="U623" s="7">
        <v>81.096897808543616</v>
      </c>
    </row>
    <row r="624" spans="1:21" x14ac:dyDescent="0.3">
      <c r="A624" s="4">
        <v>44866</v>
      </c>
      <c r="B624" s="13">
        <f t="shared" si="15"/>
        <v>124.7673716</v>
      </c>
      <c r="C624" s="12">
        <v>74.086742650251765</v>
      </c>
      <c r="D624" s="5">
        <f t="shared" si="16"/>
        <v>11</v>
      </c>
      <c r="Q624" s="4">
        <v>44866</v>
      </c>
      <c r="R624" s="7">
        <v>160.57005610336842</v>
      </c>
      <c r="S624" s="7">
        <v>185.84358220840201</v>
      </c>
      <c r="T624" s="8">
        <v>0.41997414404490224</v>
      </c>
      <c r="U624" s="7">
        <v>181.77133388669247</v>
      </c>
    </row>
    <row r="625" spans="1:21" x14ac:dyDescent="0.3">
      <c r="A625" s="4">
        <v>44896</v>
      </c>
      <c r="B625" s="13">
        <f t="shared" si="15"/>
        <v>127.67114960000001</v>
      </c>
      <c r="C625" s="12">
        <v>121.95240348810337</v>
      </c>
      <c r="D625" s="5">
        <f t="shared" si="16"/>
        <v>12</v>
      </c>
      <c r="Q625" s="4">
        <v>44896</v>
      </c>
      <c r="R625" s="7">
        <v>257.28723782068886</v>
      </c>
      <c r="S625" s="7">
        <v>257.35017318663824</v>
      </c>
      <c r="T625" s="8">
        <v>0.6474608880074415</v>
      </c>
      <c r="U625" s="7">
        <v>256.02606913577659</v>
      </c>
    </row>
    <row r="626" spans="1:21" x14ac:dyDescent="0.3">
      <c r="A626" s="4">
        <v>44927</v>
      </c>
      <c r="B626" s="13">
        <f t="shared" si="15"/>
        <v>207.521795</v>
      </c>
      <c r="C626" s="12">
        <v>46.516799717210233</v>
      </c>
      <c r="D626" s="5">
        <f t="shared" si="16"/>
        <v>1</v>
      </c>
      <c r="Q626" s="4">
        <v>44927</v>
      </c>
      <c r="R626" s="7">
        <v>63.961879386208203</v>
      </c>
      <c r="S626" s="7">
        <v>45.587752080445142</v>
      </c>
      <c r="T626" s="8">
        <v>5.6020212096659534E-2</v>
      </c>
      <c r="U626" s="7">
        <v>43.267021735847152</v>
      </c>
    </row>
    <row r="627" spans="1:21" x14ac:dyDescent="0.3">
      <c r="A627" s="4">
        <v>44958</v>
      </c>
      <c r="B627" s="13">
        <f t="shared" si="15"/>
        <v>176.88675570000001</v>
      </c>
      <c r="C627" s="12">
        <v>138.86084030382338</v>
      </c>
      <c r="D627" s="5">
        <f t="shared" si="16"/>
        <v>2</v>
      </c>
      <c r="Q627" s="4">
        <v>44958</v>
      </c>
      <c r="R627" s="7">
        <v>271.36465023196052</v>
      </c>
      <c r="S627" s="7">
        <v>258.44384892337115</v>
      </c>
      <c r="T627" s="8">
        <v>0.79139102915260029</v>
      </c>
      <c r="U627" s="7">
        <v>257.28166756168986</v>
      </c>
    </row>
    <row r="628" spans="1:21" x14ac:dyDescent="0.3">
      <c r="A628" s="4">
        <v>44986</v>
      </c>
      <c r="B628" s="13">
        <f t="shared" si="15"/>
        <v>21.2355646</v>
      </c>
      <c r="C628" s="12">
        <v>61.604711681138809</v>
      </c>
      <c r="D628" s="5">
        <f t="shared" si="16"/>
        <v>3</v>
      </c>
      <c r="Q628" s="4">
        <v>44986</v>
      </c>
      <c r="R628" s="7">
        <v>131.27544090067605</v>
      </c>
      <c r="S628" s="7">
        <v>133.8833042110131</v>
      </c>
      <c r="T628" s="8">
        <v>0.46763161708574236</v>
      </c>
      <c r="U628" s="7">
        <v>133.52565475188214</v>
      </c>
    </row>
    <row r="629" spans="1:21" x14ac:dyDescent="0.3">
      <c r="A629" s="4">
        <v>45017</v>
      </c>
      <c r="B629" s="13">
        <f t="shared" si="15"/>
        <v>20.664609899999999</v>
      </c>
      <c r="C629" s="12">
        <v>112.65139561146499</v>
      </c>
      <c r="D629" s="5">
        <f t="shared" si="16"/>
        <v>4</v>
      </c>
      <c r="Q629" s="4">
        <v>45017</v>
      </c>
      <c r="R629" s="7">
        <v>212.14643265767529</v>
      </c>
      <c r="S629" s="7">
        <v>220.42351733008414</v>
      </c>
      <c r="T629" s="8">
        <v>0.86534029134160662</v>
      </c>
      <c r="U629" s="7">
        <v>220.31301920667801</v>
      </c>
    </row>
    <row r="630" spans="1:21" x14ac:dyDescent="0.3">
      <c r="A630" s="4">
        <v>45047</v>
      </c>
      <c r="B630" s="13">
        <f t="shared" si="15"/>
        <v>63.359983499999998</v>
      </c>
      <c r="C630" s="12">
        <v>11.748565905145384</v>
      </c>
      <c r="D630" s="5">
        <f t="shared" si="16"/>
        <v>5</v>
      </c>
      <c r="Q630" s="4">
        <v>45047</v>
      </c>
      <c r="R630" s="7">
        <v>19.963138682772648</v>
      </c>
      <c r="S630" s="7">
        <v>26.528524551312014</v>
      </c>
      <c r="T630" s="8">
        <v>4.2614707833504344E-2</v>
      </c>
      <c r="U630" s="7">
        <v>27.033699615048612</v>
      </c>
    </row>
    <row r="631" spans="1:21" x14ac:dyDescent="0.3">
      <c r="A631" s="4">
        <v>45078</v>
      </c>
      <c r="B631" s="13">
        <f t="shared" si="15"/>
        <v>18.068093399999999</v>
      </c>
      <c r="C631" s="12">
        <v>34.58240945474256</v>
      </c>
      <c r="D631" s="5">
        <f t="shared" si="16"/>
        <v>6</v>
      </c>
      <c r="Q631" s="4">
        <v>45078</v>
      </c>
      <c r="R631" s="7">
        <v>35.038065783464617</v>
      </c>
      <c r="S631" s="7">
        <v>38.304033703301478</v>
      </c>
      <c r="T631" s="8">
        <v>0.70590702491913526</v>
      </c>
      <c r="U631" s="7">
        <v>37.637229188026112</v>
      </c>
    </row>
    <row r="632" spans="1:21" x14ac:dyDescent="0.3">
      <c r="A632" s="4">
        <v>45108</v>
      </c>
      <c r="B632" s="13">
        <f t="shared" si="15"/>
        <v>151.88512929999999</v>
      </c>
      <c r="C632" s="12">
        <v>8.7056880488489592E-3</v>
      </c>
      <c r="D632" s="5">
        <f t="shared" si="16"/>
        <v>7</v>
      </c>
      <c r="Q632" s="4">
        <v>45108</v>
      </c>
      <c r="R632" s="7">
        <v>3.1503158976045373E-2</v>
      </c>
      <c r="S632" s="7">
        <v>0.22431677126371991</v>
      </c>
      <c r="T632" s="8">
        <v>1.0744151502453206E-2</v>
      </c>
      <c r="U632" s="7">
        <v>0.73123049000245155</v>
      </c>
    </row>
    <row r="633" spans="1:21" x14ac:dyDescent="0.3">
      <c r="A633" s="4">
        <v>45139</v>
      </c>
      <c r="B633" s="13">
        <f t="shared" si="15"/>
        <v>213.2590141</v>
      </c>
      <c r="C633" s="12">
        <v>3.3502724466511057E-13</v>
      </c>
      <c r="D633" s="5">
        <f t="shared" si="16"/>
        <v>8</v>
      </c>
      <c r="Q633" s="4">
        <v>45139</v>
      </c>
      <c r="R633" s="7">
        <v>1.8221532770939529E-12</v>
      </c>
      <c r="S633" s="7">
        <v>7.8468009821849021E-3</v>
      </c>
      <c r="T633" s="8">
        <v>6.6291481831630029E-8</v>
      </c>
      <c r="U633" s="7">
        <v>3.5229756216324216E-3</v>
      </c>
    </row>
    <row r="634" spans="1:21" x14ac:dyDescent="0.3">
      <c r="A634" s="4">
        <v>45170</v>
      </c>
      <c r="B634" s="13">
        <f t="shared" si="15"/>
        <v>86.718637700000002</v>
      </c>
      <c r="C634" s="12">
        <v>24.911529879318561</v>
      </c>
      <c r="D634" s="5">
        <f t="shared" si="16"/>
        <v>9</v>
      </c>
      <c r="Q634" s="4">
        <v>45170</v>
      </c>
      <c r="R634" s="7">
        <v>83.47444512047322</v>
      </c>
      <c r="S634" s="7">
        <v>85.37689050926592</v>
      </c>
      <c r="T634" s="8">
        <v>0.75784810369816191</v>
      </c>
      <c r="U634" s="7">
        <v>82.031428546513865</v>
      </c>
    </row>
    <row r="635" spans="1:21" x14ac:dyDescent="0.3">
      <c r="A635" s="4">
        <v>45200</v>
      </c>
      <c r="B635" s="13">
        <f t="shared" si="15"/>
        <v>51.651310000000002</v>
      </c>
      <c r="C635" s="12">
        <v>106.61182083422317</v>
      </c>
      <c r="D635" s="5">
        <f t="shared" si="16"/>
        <v>10</v>
      </c>
      <c r="Q635" s="4">
        <v>45200</v>
      </c>
      <c r="R635" s="7">
        <v>261.66994708000823</v>
      </c>
      <c r="S635" s="7">
        <v>239.82268859607314</v>
      </c>
      <c r="T635" s="8">
        <v>0.78839561771912514</v>
      </c>
      <c r="U635" s="7">
        <v>234.67878440779037</v>
      </c>
    </row>
    <row r="636" spans="1:21" x14ac:dyDescent="0.3">
      <c r="A636" s="4">
        <v>45231</v>
      </c>
      <c r="B636" s="13">
        <f t="shared" si="15"/>
        <v>61.366273900000003</v>
      </c>
      <c r="C636" s="12">
        <v>86.11835644114764</v>
      </c>
      <c r="D636" s="5">
        <f t="shared" si="16"/>
        <v>11</v>
      </c>
      <c r="Q636" s="4">
        <v>45231</v>
      </c>
      <c r="R636" s="7">
        <v>186.64647453275455</v>
      </c>
      <c r="S636" s="7">
        <v>203.41004863309462</v>
      </c>
      <c r="T636" s="8">
        <v>0.51344277305617536</v>
      </c>
      <c r="U636" s="7">
        <v>199.40560893330544</v>
      </c>
    </row>
    <row r="637" spans="1:21" x14ac:dyDescent="0.3">
      <c r="A637" s="4">
        <v>45261</v>
      </c>
      <c r="B637" s="13">
        <f t="shared" si="15"/>
        <v>109.5191387</v>
      </c>
      <c r="C637" s="12">
        <v>101.65612923447036</v>
      </c>
      <c r="D637" s="5">
        <f t="shared" si="16"/>
        <v>12</v>
      </c>
      <c r="Q637" s="4">
        <v>45261</v>
      </c>
      <c r="R637" s="7">
        <v>214.4674803463902</v>
      </c>
      <c r="S637" s="7">
        <v>220.82018064820139</v>
      </c>
      <c r="T637" s="8">
        <v>0.50135212988505562</v>
      </c>
      <c r="U637" s="7">
        <v>218.86689772202328</v>
      </c>
    </row>
    <row r="638" spans="1:21" x14ac:dyDescent="0.3">
      <c r="A638" s="4">
        <v>45292</v>
      </c>
      <c r="B638" s="13">
        <f t="shared" si="15"/>
        <v>299.96007520000001</v>
      </c>
      <c r="C638" s="12">
        <v>136.60303564975041</v>
      </c>
      <c r="D638" s="5">
        <f t="shared" si="16"/>
        <v>1</v>
      </c>
      <c r="Q638" s="4">
        <v>45292</v>
      </c>
      <c r="R638" s="7">
        <v>187.83293225536721</v>
      </c>
      <c r="S638" s="7">
        <v>188.73396307376501</v>
      </c>
      <c r="T638" s="8">
        <v>0.68239959612679724</v>
      </c>
      <c r="U638" s="7">
        <v>190.91248588607343</v>
      </c>
    </row>
    <row r="639" spans="1:21" x14ac:dyDescent="0.3">
      <c r="A639" s="4">
        <v>45323</v>
      </c>
      <c r="B639" s="13">
        <f t="shared" si="15"/>
        <v>137.74359010000001</v>
      </c>
      <c r="C639" s="12">
        <v>188.18881970364603</v>
      </c>
      <c r="D639" s="5">
        <f t="shared" si="16"/>
        <v>2</v>
      </c>
      <c r="Q639" s="4">
        <v>45323</v>
      </c>
      <c r="R639" s="7">
        <v>367.76238084625282</v>
      </c>
      <c r="S639" s="7">
        <v>327.04794936536558</v>
      </c>
      <c r="T639" s="8">
        <v>0.92632207839822567</v>
      </c>
      <c r="U639" s="7">
        <v>328.52845582139594</v>
      </c>
    </row>
    <row r="640" spans="1:21" x14ac:dyDescent="0.3">
      <c r="A640" s="4">
        <v>45352</v>
      </c>
      <c r="B640" s="13">
        <f t="shared" ref="B640:B703" si="17">B259</f>
        <v>58.077540999999997</v>
      </c>
      <c r="C640" s="12">
        <v>77.671044145244991</v>
      </c>
      <c r="D640" s="5">
        <f t="shared" si="16"/>
        <v>3</v>
      </c>
      <c r="Q640" s="4">
        <v>45352</v>
      </c>
      <c r="R640" s="7">
        <v>165.51170011407839</v>
      </c>
      <c r="S640" s="7">
        <v>165.8311191525772</v>
      </c>
      <c r="T640" s="8">
        <v>0.63952911048316019</v>
      </c>
      <c r="U640" s="7">
        <v>165.3774865605746</v>
      </c>
    </row>
    <row r="641" spans="1:21" x14ac:dyDescent="0.3">
      <c r="A641" s="4">
        <v>45383</v>
      </c>
      <c r="B641" s="13">
        <f t="shared" si="17"/>
        <v>33.199351999999998</v>
      </c>
      <c r="C641" s="12">
        <v>200.94757480546818</v>
      </c>
      <c r="D641" s="5">
        <f t="shared" si="16"/>
        <v>4</v>
      </c>
      <c r="Q641" s="4">
        <v>45383</v>
      </c>
      <c r="R641" s="7">
        <v>378.42683541377062</v>
      </c>
      <c r="S641" s="7">
        <v>424.21109444007539</v>
      </c>
      <c r="T641" s="8">
        <v>0.99672914481431829</v>
      </c>
      <c r="U641" s="7">
        <v>415.07610191209943</v>
      </c>
    </row>
    <row r="642" spans="1:21" x14ac:dyDescent="0.3">
      <c r="A642" s="4">
        <v>45413</v>
      </c>
      <c r="B642" s="13">
        <f t="shared" si="17"/>
        <v>0.33446779999999998</v>
      </c>
      <c r="C642" s="12">
        <v>30.854498219559943</v>
      </c>
      <c r="D642" s="5">
        <f t="shared" si="16"/>
        <v>5</v>
      </c>
      <c r="Q642" s="4">
        <v>45413</v>
      </c>
      <c r="R642" s="7">
        <v>52.427899023375716</v>
      </c>
      <c r="S642" s="7">
        <v>60.085239849368158</v>
      </c>
      <c r="T642" s="8">
        <v>0.23906183217588445</v>
      </c>
      <c r="U642" s="7">
        <v>59.485994451039886</v>
      </c>
    </row>
    <row r="643" spans="1:21" x14ac:dyDescent="0.3">
      <c r="A643" s="4">
        <v>45444</v>
      </c>
      <c r="B643" s="13">
        <f t="shared" si="17"/>
        <v>30.723503600000001</v>
      </c>
      <c r="C643" s="12">
        <v>10.239224080578417</v>
      </c>
      <c r="D643" s="5">
        <f t="shared" ref="D643:D706" si="18">MONTH(A643)</f>
        <v>6</v>
      </c>
      <c r="Q643" s="4">
        <v>45444</v>
      </c>
      <c r="R643" s="7">
        <v>10.374135653458397</v>
      </c>
      <c r="S643" s="7">
        <v>17.951712272894557</v>
      </c>
      <c r="T643" s="8">
        <v>0.39860511825789802</v>
      </c>
      <c r="U643" s="7">
        <v>19.746263268758213</v>
      </c>
    </row>
    <row r="644" spans="1:21" x14ac:dyDescent="0.3">
      <c r="A644" s="4">
        <v>45474</v>
      </c>
      <c r="B644" s="13">
        <f t="shared" si="17"/>
        <v>215.1541197</v>
      </c>
      <c r="C644" s="12">
        <v>0.84040968058616217</v>
      </c>
      <c r="D644" s="5">
        <f t="shared" si="18"/>
        <v>7</v>
      </c>
      <c r="Q644" s="4">
        <v>45474</v>
      </c>
      <c r="R644" s="7">
        <v>3.0411794707040878</v>
      </c>
      <c r="S644" s="7">
        <v>6.1459395898875204</v>
      </c>
      <c r="T644" s="8">
        <v>0.20263669952610214</v>
      </c>
      <c r="U644" s="7">
        <v>7.8722518152084531</v>
      </c>
    </row>
    <row r="645" spans="1:21" x14ac:dyDescent="0.3">
      <c r="A645" s="4">
        <v>45505</v>
      </c>
      <c r="B645" s="13">
        <f t="shared" si="17"/>
        <v>137.2045009</v>
      </c>
      <c r="C645" s="12">
        <v>12.77739435900002</v>
      </c>
      <c r="D645" s="5">
        <f t="shared" si="18"/>
        <v>8</v>
      </c>
      <c r="Q645" s="4">
        <v>45505</v>
      </c>
      <c r="R645" s="7">
        <v>69.493963176775267</v>
      </c>
      <c r="S645" s="7">
        <v>57.385408583846932</v>
      </c>
      <c r="T645" s="8">
        <v>0.85653720600078387</v>
      </c>
      <c r="U645" s="7">
        <v>56.719855739514777</v>
      </c>
    </row>
    <row r="646" spans="1:21" x14ac:dyDescent="0.3">
      <c r="A646" s="4">
        <v>45536</v>
      </c>
      <c r="B646" s="13">
        <f t="shared" si="17"/>
        <v>219.51549220000001</v>
      </c>
      <c r="C646" s="12">
        <v>0.20873606331406325</v>
      </c>
      <c r="D646" s="5">
        <f t="shared" si="18"/>
        <v>9</v>
      </c>
      <c r="Q646" s="4">
        <v>45536</v>
      </c>
      <c r="R646" s="7">
        <v>0.69944026505729895</v>
      </c>
      <c r="S646" s="7">
        <v>4.4219057544829479</v>
      </c>
      <c r="T646" s="8">
        <v>3.8912556269695767E-2</v>
      </c>
      <c r="U646" s="7">
        <v>6.8068443304825639</v>
      </c>
    </row>
    <row r="647" spans="1:21" x14ac:dyDescent="0.3">
      <c r="A647" s="4">
        <v>45566</v>
      </c>
      <c r="B647" s="13">
        <f t="shared" si="17"/>
        <v>150.35672080000001</v>
      </c>
      <c r="C647" s="12">
        <v>169.78965627495199</v>
      </c>
      <c r="D647" s="5">
        <f t="shared" si="18"/>
        <v>10</v>
      </c>
      <c r="Q647" s="4">
        <v>45566</v>
      </c>
      <c r="R647" s="7">
        <v>416.73474877879107</v>
      </c>
      <c r="S647" s="7">
        <v>313.52508881361422</v>
      </c>
      <c r="T647" s="8">
        <v>0.92444878747931436</v>
      </c>
      <c r="U647" s="7">
        <v>313.88826689004361</v>
      </c>
    </row>
    <row r="648" spans="1:21" x14ac:dyDescent="0.3">
      <c r="A648" s="4">
        <v>45597</v>
      </c>
      <c r="B648" s="13">
        <f t="shared" si="17"/>
        <v>226.221993</v>
      </c>
      <c r="C648" s="12">
        <v>84.835962974466256</v>
      </c>
      <c r="D648" s="5">
        <f t="shared" si="18"/>
        <v>11</v>
      </c>
      <c r="Q648" s="4">
        <v>45597</v>
      </c>
      <c r="R648" s="7">
        <v>183.86711099852951</v>
      </c>
      <c r="S648" s="7">
        <v>201.58666229256434</v>
      </c>
      <c r="T648" s="8">
        <v>0.50386549303088191</v>
      </c>
      <c r="U648" s="7">
        <v>197.55843206435776</v>
      </c>
    </row>
    <row r="649" spans="1:21" x14ac:dyDescent="0.3">
      <c r="A649" s="4">
        <v>45627</v>
      </c>
      <c r="B649" s="13">
        <f t="shared" si="17"/>
        <v>130.26435620000001</v>
      </c>
      <c r="C649" s="12">
        <v>78.667593287536775</v>
      </c>
      <c r="D649" s="5">
        <f t="shared" si="18"/>
        <v>12</v>
      </c>
      <c r="Q649" s="4">
        <v>45627</v>
      </c>
      <c r="R649" s="7">
        <v>165.96776450515927</v>
      </c>
      <c r="S649" s="7">
        <v>177.99395139552576</v>
      </c>
      <c r="T649" s="8">
        <v>0.31263983538937151</v>
      </c>
      <c r="U649" s="7">
        <v>175.88042155637805</v>
      </c>
    </row>
    <row r="650" spans="1:21" x14ac:dyDescent="0.3">
      <c r="A650" s="4">
        <v>45658</v>
      </c>
      <c r="B650" s="13">
        <f t="shared" si="17"/>
        <v>79.208815700000002</v>
      </c>
      <c r="C650" s="12">
        <v>145.51092713372779</v>
      </c>
      <c r="D650" s="5">
        <f t="shared" si="18"/>
        <v>1</v>
      </c>
      <c r="Q650" s="4">
        <v>45658</v>
      </c>
      <c r="R650" s="7">
        <v>200.08152812067544</v>
      </c>
      <c r="S650" s="7">
        <v>205.1311962695068</v>
      </c>
      <c r="T650" s="8">
        <v>0.73208337750760388</v>
      </c>
      <c r="U650" s="7">
        <v>207.23330585401271</v>
      </c>
    </row>
    <row r="651" spans="1:21" x14ac:dyDescent="0.3">
      <c r="A651" s="4">
        <v>45689</v>
      </c>
      <c r="B651" s="13">
        <f t="shared" si="17"/>
        <v>165.0778636</v>
      </c>
      <c r="C651" s="12">
        <v>11.887907789787283</v>
      </c>
      <c r="D651" s="5">
        <f t="shared" si="18"/>
        <v>2</v>
      </c>
      <c r="Q651" s="4">
        <v>45689</v>
      </c>
      <c r="R651" s="7">
        <v>23.231588778428282</v>
      </c>
      <c r="S651" s="7">
        <v>38.512734964669612</v>
      </c>
      <c r="T651" s="8">
        <v>4.4721316522842551E-3</v>
      </c>
      <c r="U651" s="7">
        <v>42.606396171150358</v>
      </c>
    </row>
    <row r="652" spans="1:21" x14ac:dyDescent="0.3">
      <c r="A652" s="4">
        <v>45717</v>
      </c>
      <c r="B652" s="13">
        <f t="shared" si="17"/>
        <v>24.596682999999999</v>
      </c>
      <c r="C652" s="12">
        <v>71.873844461515532</v>
      </c>
      <c r="D652" s="5">
        <f t="shared" si="18"/>
        <v>3</v>
      </c>
      <c r="Q652" s="4">
        <v>45717</v>
      </c>
      <c r="R652" s="7">
        <v>153.15826279243527</v>
      </c>
      <c r="S652" s="7">
        <v>154.36790377710184</v>
      </c>
      <c r="T652" s="8">
        <v>0.58186809340816747</v>
      </c>
      <c r="U652" s="7">
        <v>153.92772383131276</v>
      </c>
    </row>
    <row r="653" spans="1:21" x14ac:dyDescent="0.3">
      <c r="A653" s="4">
        <v>45748</v>
      </c>
      <c r="B653" s="13">
        <f t="shared" si="17"/>
        <v>2.9321012</v>
      </c>
      <c r="C653" s="12">
        <v>63.214305206201885</v>
      </c>
      <c r="D653" s="5">
        <f t="shared" si="18"/>
        <v>4</v>
      </c>
      <c r="Q653" s="4">
        <v>45748</v>
      </c>
      <c r="R653" s="7">
        <v>119.04592277474084</v>
      </c>
      <c r="S653" s="7">
        <v>114.66069749422154</v>
      </c>
      <c r="T653" s="8">
        <v>0.41786981639260662</v>
      </c>
      <c r="U653" s="7">
        <v>115.33873464644616</v>
      </c>
    </row>
    <row r="654" spans="1:21" x14ac:dyDescent="0.3">
      <c r="A654" s="4">
        <v>45778</v>
      </c>
      <c r="B654" s="13">
        <f t="shared" si="17"/>
        <v>7.6125645999999998</v>
      </c>
      <c r="C654" s="12">
        <v>97.804253187496201</v>
      </c>
      <c r="D654" s="5">
        <f t="shared" si="18"/>
        <v>5</v>
      </c>
      <c r="Q654" s="4">
        <v>45778</v>
      </c>
      <c r="R654" s="7">
        <v>166.18878303196908</v>
      </c>
      <c r="S654" s="7">
        <v>159.58924164571869</v>
      </c>
      <c r="T654" s="8">
        <v>0.82846082379509534</v>
      </c>
      <c r="U654" s="7">
        <v>159.31966697155985</v>
      </c>
    </row>
    <row r="655" spans="1:21" x14ac:dyDescent="0.3">
      <c r="A655" s="4">
        <v>45809</v>
      </c>
      <c r="B655" s="13">
        <f t="shared" si="17"/>
        <v>32.972645800000002</v>
      </c>
      <c r="C655" s="12">
        <v>0.21746669540334562</v>
      </c>
      <c r="D655" s="5">
        <f t="shared" si="18"/>
        <v>6</v>
      </c>
      <c r="Q655" s="4">
        <v>45809</v>
      </c>
      <c r="R655" s="7">
        <v>0.2203320271604195</v>
      </c>
      <c r="S655" s="7">
        <v>1.6309812237924635</v>
      </c>
      <c r="T655" s="8">
        <v>4.159195718021013E-2</v>
      </c>
      <c r="U655" s="7">
        <v>3.8094133368664447</v>
      </c>
    </row>
    <row r="656" spans="1:21" x14ac:dyDescent="0.3">
      <c r="A656" s="4">
        <v>45839</v>
      </c>
      <c r="B656" s="13">
        <f t="shared" si="17"/>
        <v>101.2317037</v>
      </c>
      <c r="C656" s="12">
        <v>6.8995591231214215</v>
      </c>
      <c r="D656" s="5">
        <f t="shared" si="18"/>
        <v>7</v>
      </c>
      <c r="Q656" s="4">
        <v>45839</v>
      </c>
      <c r="R656" s="7">
        <v>24.967343959568687</v>
      </c>
      <c r="S656" s="7">
        <v>28.244748921662424</v>
      </c>
      <c r="T656" s="8">
        <v>0.65127427017335215</v>
      </c>
      <c r="U656" s="7">
        <v>28.201260055067156</v>
      </c>
    </row>
    <row r="657" spans="1:21" x14ac:dyDescent="0.3">
      <c r="A657" s="4">
        <v>45870</v>
      </c>
      <c r="B657" s="13">
        <f t="shared" si="17"/>
        <v>293.78789169999999</v>
      </c>
      <c r="C657" s="12">
        <v>0.61577381693496125</v>
      </c>
      <c r="D657" s="5">
        <f t="shared" si="18"/>
        <v>8</v>
      </c>
      <c r="Q657" s="4">
        <v>45870</v>
      </c>
      <c r="R657" s="7">
        <v>3.3490836830248361</v>
      </c>
      <c r="S657" s="7">
        <v>24.215223969286381</v>
      </c>
      <c r="T657" s="8">
        <v>0.23394986244352287</v>
      </c>
      <c r="U657" s="7">
        <v>14.449115284924396</v>
      </c>
    </row>
    <row r="658" spans="1:21" x14ac:dyDescent="0.3">
      <c r="A658" s="4">
        <v>45901</v>
      </c>
      <c r="B658" s="13">
        <f t="shared" si="17"/>
        <v>205.4655788</v>
      </c>
      <c r="C658" s="12">
        <v>27.126191882416638</v>
      </c>
      <c r="D658" s="5">
        <f t="shared" si="18"/>
        <v>9</v>
      </c>
      <c r="Q658" s="4">
        <v>45901</v>
      </c>
      <c r="R658" s="7">
        <v>90.895413753615429</v>
      </c>
      <c r="S658" s="7">
        <v>89.999387307263916</v>
      </c>
      <c r="T658" s="8">
        <v>0.78166879155085423</v>
      </c>
      <c r="U658" s="7">
        <v>86.671466550952928</v>
      </c>
    </row>
    <row r="659" spans="1:21" x14ac:dyDescent="0.3">
      <c r="A659" s="4">
        <v>45931</v>
      </c>
      <c r="B659" s="13">
        <f t="shared" si="17"/>
        <v>239.0143357</v>
      </c>
      <c r="C659" s="12">
        <v>99.243377975653814</v>
      </c>
      <c r="D659" s="5">
        <f t="shared" si="18"/>
        <v>10</v>
      </c>
      <c r="Q659" s="4">
        <v>45931</v>
      </c>
      <c r="R659" s="7">
        <v>243.58471002302164</v>
      </c>
      <c r="S659" s="7">
        <v>230.13317459696285</v>
      </c>
      <c r="T659" s="8">
        <v>0.76187971485732153</v>
      </c>
      <c r="U659" s="7">
        <v>224.79160400587656</v>
      </c>
    </row>
    <row r="660" spans="1:21" x14ac:dyDescent="0.3">
      <c r="A660" s="4">
        <v>45962</v>
      </c>
      <c r="B660" s="13">
        <f t="shared" si="17"/>
        <v>340.19888459999999</v>
      </c>
      <c r="C660" s="12">
        <v>7.9344483019667571</v>
      </c>
      <c r="D660" s="5">
        <f t="shared" si="18"/>
        <v>11</v>
      </c>
      <c r="Q660" s="4">
        <v>45962</v>
      </c>
      <c r="R660" s="7">
        <v>17.196528871711017</v>
      </c>
      <c r="S660" s="7">
        <v>48.622767235624273</v>
      </c>
      <c r="T660" s="8">
        <v>3.0046518229826253E-3</v>
      </c>
      <c r="U660" s="7">
        <v>53.998864481366873</v>
      </c>
    </row>
    <row r="661" spans="1:21" x14ac:dyDescent="0.3">
      <c r="A661" s="4">
        <v>45992</v>
      </c>
      <c r="B661" s="13">
        <f t="shared" si="17"/>
        <v>56.380270899999999</v>
      </c>
      <c r="C661" s="12">
        <v>34.499607383622738</v>
      </c>
      <c r="D661" s="5">
        <f t="shared" si="18"/>
        <v>12</v>
      </c>
      <c r="Q661" s="4">
        <v>45992</v>
      </c>
      <c r="R661" s="7">
        <v>72.785024614102284</v>
      </c>
      <c r="S661" s="7">
        <v>88.991274698146114</v>
      </c>
      <c r="T661" s="8">
        <v>3.3341663565953014E-2</v>
      </c>
      <c r="U661" s="7">
        <v>88.503415729918373</v>
      </c>
    </row>
    <row r="662" spans="1:21" x14ac:dyDescent="0.3">
      <c r="A662" s="4">
        <v>46023</v>
      </c>
      <c r="B662" s="13">
        <f t="shared" si="17"/>
        <v>169.3009788</v>
      </c>
      <c r="C662" s="12">
        <v>137.37013883655894</v>
      </c>
      <c r="D662" s="5">
        <f t="shared" si="18"/>
        <v>1</v>
      </c>
      <c r="Q662" s="4">
        <v>46023</v>
      </c>
      <c r="R662" s="7">
        <v>188.88772024185181</v>
      </c>
      <c r="S662" s="7">
        <v>190.13294126875655</v>
      </c>
      <c r="T662" s="8">
        <v>0.68691366346150129</v>
      </c>
      <c r="U662" s="7">
        <v>192.30995879066589</v>
      </c>
    </row>
    <row r="663" spans="1:21" x14ac:dyDescent="0.3">
      <c r="A663" s="4">
        <v>46054</v>
      </c>
      <c r="B663" s="13">
        <f t="shared" si="17"/>
        <v>85.541292799999994</v>
      </c>
      <c r="C663" s="12">
        <v>146.33722677826893</v>
      </c>
      <c r="D663" s="5">
        <f t="shared" si="18"/>
        <v>2</v>
      </c>
      <c r="Q663" s="4">
        <v>46054</v>
      </c>
      <c r="R663" s="7">
        <v>285.97515522528954</v>
      </c>
      <c r="S663" s="7">
        <v>269.15690451185833</v>
      </c>
      <c r="T663" s="8">
        <v>0.82026458552292203</v>
      </c>
      <c r="U663" s="7">
        <v>268.25868365071904</v>
      </c>
    </row>
    <row r="664" spans="1:21" x14ac:dyDescent="0.3">
      <c r="A664" s="4">
        <v>46082</v>
      </c>
      <c r="B664" s="13">
        <f t="shared" si="17"/>
        <v>21.200916100000001</v>
      </c>
      <c r="C664" s="12">
        <v>9.9797718088666407</v>
      </c>
      <c r="D664" s="5">
        <f t="shared" si="18"/>
        <v>3</v>
      </c>
      <c r="Q664" s="4">
        <v>46082</v>
      </c>
      <c r="R664" s="7">
        <v>21.266213387671961</v>
      </c>
      <c r="S664" s="7">
        <v>24.931872532375188</v>
      </c>
      <c r="T664" s="8">
        <v>3.9925013793594101E-3</v>
      </c>
      <c r="U664" s="7">
        <v>25.868937514517313</v>
      </c>
    </row>
    <row r="665" spans="1:21" x14ac:dyDescent="0.3">
      <c r="A665" s="4">
        <v>46113</v>
      </c>
      <c r="B665" s="13">
        <f t="shared" si="17"/>
        <v>37.963072199999999</v>
      </c>
      <c r="C665" s="12">
        <v>54.231732850894218</v>
      </c>
      <c r="D665" s="5">
        <f t="shared" si="18"/>
        <v>4</v>
      </c>
      <c r="Q665" s="4">
        <v>46113</v>
      </c>
      <c r="R665" s="7">
        <v>102.12983690714569</v>
      </c>
      <c r="S665" s="7">
        <v>96.409411759995876</v>
      </c>
      <c r="T665" s="8">
        <v>0.30319912246647901</v>
      </c>
      <c r="U665" s="7">
        <v>96.893772831539252</v>
      </c>
    </row>
    <row r="666" spans="1:21" x14ac:dyDescent="0.3">
      <c r="A666" s="4">
        <v>46143</v>
      </c>
      <c r="B666" s="13">
        <f t="shared" si="17"/>
        <v>26.130255999999999</v>
      </c>
      <c r="C666" s="12">
        <v>53.298636549152548</v>
      </c>
      <c r="D666" s="5">
        <f t="shared" si="18"/>
        <v>5</v>
      </c>
      <c r="Q666" s="4">
        <v>46143</v>
      </c>
      <c r="R666" s="7">
        <v>90.56493206268145</v>
      </c>
      <c r="S666" s="7">
        <v>95.449825958186835</v>
      </c>
      <c r="T666" s="8">
        <v>0.49962170306448672</v>
      </c>
      <c r="U666" s="7">
        <v>94.26744878631095</v>
      </c>
    </row>
    <row r="667" spans="1:21" x14ac:dyDescent="0.3">
      <c r="A667" s="4">
        <v>46174</v>
      </c>
      <c r="B667" s="13">
        <f t="shared" si="17"/>
        <v>28.012876299999999</v>
      </c>
      <c r="C667" s="12">
        <v>29.431451519485577</v>
      </c>
      <c r="D667" s="5">
        <f t="shared" si="18"/>
        <v>6</v>
      </c>
      <c r="Q667" s="4">
        <v>46174</v>
      </c>
      <c r="R667" s="7">
        <v>29.819239049613582</v>
      </c>
      <c r="S667" s="7">
        <v>34.644168018074744</v>
      </c>
      <c r="T667" s="8">
        <v>0.66196864562256619</v>
      </c>
      <c r="U667" s="7">
        <v>34.35224216049555</v>
      </c>
    </row>
    <row r="668" spans="1:21" x14ac:dyDescent="0.3">
      <c r="A668" s="4">
        <v>46204</v>
      </c>
      <c r="B668" s="13">
        <f t="shared" si="17"/>
        <v>311.60373060000001</v>
      </c>
      <c r="C668" s="12">
        <v>1.9628584597697349E-4</v>
      </c>
      <c r="D668" s="5">
        <f t="shared" si="18"/>
        <v>7</v>
      </c>
      <c r="Q668" s="4">
        <v>46204</v>
      </c>
      <c r="R668" s="7">
        <v>7.1029701223646914E-4</v>
      </c>
      <c r="S668" s="7">
        <v>1.4382080961674685E-2</v>
      </c>
      <c r="T668" s="8">
        <v>9.1675801803624659E-4</v>
      </c>
      <c r="U668" s="7">
        <v>0.11186184818722948</v>
      </c>
    </row>
    <row r="669" spans="1:21" x14ac:dyDescent="0.3">
      <c r="A669" s="4">
        <v>46235</v>
      </c>
      <c r="B669" s="13">
        <f t="shared" si="17"/>
        <v>193.2202618</v>
      </c>
      <c r="C669" s="12">
        <v>48.539928894024222</v>
      </c>
      <c r="D669" s="5">
        <f t="shared" si="18"/>
        <v>8</v>
      </c>
      <c r="Q669" s="4">
        <v>46235</v>
      </c>
      <c r="R669" s="7">
        <v>263.99999376935597</v>
      </c>
      <c r="S669" s="7">
        <v>83.892447862408673</v>
      </c>
      <c r="T669" s="8">
        <v>0.99627431416589007</v>
      </c>
      <c r="U669" s="7">
        <v>130.99334973512998</v>
      </c>
    </row>
    <row r="670" spans="1:21" x14ac:dyDescent="0.3">
      <c r="A670" s="4">
        <v>46266</v>
      </c>
      <c r="B670" s="13">
        <f t="shared" si="17"/>
        <v>239.85549140000001</v>
      </c>
      <c r="C670" s="12">
        <v>44.277959328610578</v>
      </c>
      <c r="D670" s="5">
        <f t="shared" si="18"/>
        <v>9</v>
      </c>
      <c r="Q670" s="4">
        <v>46266</v>
      </c>
      <c r="R670" s="7">
        <v>148.36816943511431</v>
      </c>
      <c r="S670" s="7">
        <v>121.8937513265541</v>
      </c>
      <c r="T670" s="8">
        <v>0.8996041364037215</v>
      </c>
      <c r="U670" s="7">
        <v>120.33584790583717</v>
      </c>
    </row>
    <row r="671" spans="1:21" x14ac:dyDescent="0.3">
      <c r="A671" s="4">
        <v>46296</v>
      </c>
      <c r="B671" s="13">
        <f t="shared" si="17"/>
        <v>268.05485870000001</v>
      </c>
      <c r="C671" s="12">
        <v>22.234172991011288</v>
      </c>
      <c r="D671" s="5">
        <f t="shared" si="18"/>
        <v>10</v>
      </c>
      <c r="Q671" s="4">
        <v>46296</v>
      </c>
      <c r="R671" s="7">
        <v>54.571949192880183</v>
      </c>
      <c r="S671" s="7">
        <v>97.243976901887791</v>
      </c>
      <c r="T671" s="8">
        <v>0.23105531291716394</v>
      </c>
      <c r="U671" s="7">
        <v>100.06120897374247</v>
      </c>
    </row>
    <row r="672" spans="1:21" x14ac:dyDescent="0.3">
      <c r="A672" s="4">
        <v>46327</v>
      </c>
      <c r="B672" s="13">
        <f t="shared" si="17"/>
        <v>82.151043799999997</v>
      </c>
      <c r="C672" s="12">
        <v>64.498386578634253</v>
      </c>
      <c r="D672" s="5">
        <f t="shared" si="18"/>
        <v>11</v>
      </c>
      <c r="Q672" s="4">
        <v>46327</v>
      </c>
      <c r="R672" s="7">
        <v>139.78897142770865</v>
      </c>
      <c r="S672" s="7">
        <v>171.01011773195705</v>
      </c>
      <c r="T672" s="8">
        <v>0.34117941360334092</v>
      </c>
      <c r="U672" s="7">
        <v>167.15646851015069</v>
      </c>
    </row>
    <row r="673" spans="1:21" x14ac:dyDescent="0.3">
      <c r="A673" s="4">
        <v>46357</v>
      </c>
      <c r="B673" s="13">
        <f t="shared" si="17"/>
        <v>175.76432109999999</v>
      </c>
      <c r="C673" s="12">
        <v>89.88496464444323</v>
      </c>
      <c r="D673" s="5">
        <f t="shared" si="18"/>
        <v>12</v>
      </c>
      <c r="Q673" s="4">
        <v>46357</v>
      </c>
      <c r="R673" s="7">
        <v>189.63344397911007</v>
      </c>
      <c r="S673" s="7">
        <v>199.10903014766723</v>
      </c>
      <c r="T673" s="8">
        <v>0.40604322752767286</v>
      </c>
      <c r="U673" s="7">
        <v>196.99587731160597</v>
      </c>
    </row>
    <row r="674" spans="1:21" x14ac:dyDescent="0.3">
      <c r="A674" s="4">
        <v>46388</v>
      </c>
      <c r="B674" s="13">
        <f t="shared" si="17"/>
        <v>105.6877432</v>
      </c>
      <c r="C674" s="12">
        <v>147.23296787124124</v>
      </c>
      <c r="D674" s="5">
        <f t="shared" si="18"/>
        <v>1</v>
      </c>
      <c r="Q674" s="4">
        <v>46388</v>
      </c>
      <c r="R674" s="7">
        <v>202.44938151172079</v>
      </c>
      <c r="S674" s="7">
        <v>208.33875929428604</v>
      </c>
      <c r="T674" s="8">
        <v>0.74099782506187017</v>
      </c>
      <c r="U674" s="7">
        <v>210.41103858461832</v>
      </c>
    </row>
    <row r="675" spans="1:21" x14ac:dyDescent="0.3">
      <c r="A675" s="4">
        <v>46419</v>
      </c>
      <c r="B675" s="13">
        <f t="shared" si="17"/>
        <v>122.025441</v>
      </c>
      <c r="C675" s="12">
        <v>108.21294779889291</v>
      </c>
      <c r="D675" s="5">
        <f t="shared" si="18"/>
        <v>2</v>
      </c>
      <c r="Q675" s="4">
        <v>46419</v>
      </c>
      <c r="R675" s="7">
        <v>211.47192157101932</v>
      </c>
      <c r="S675" s="7">
        <v>213.05273639712857</v>
      </c>
      <c r="T675" s="8">
        <v>0.63187525292447577</v>
      </c>
      <c r="U675" s="7">
        <v>211.3903640823593</v>
      </c>
    </row>
    <row r="676" spans="1:21" x14ac:dyDescent="0.3">
      <c r="A676" s="4">
        <v>46447</v>
      </c>
      <c r="B676" s="13">
        <f t="shared" si="17"/>
        <v>13.0360415</v>
      </c>
      <c r="C676" s="12">
        <v>51.207523746415866</v>
      </c>
      <c r="D676" s="5">
        <f t="shared" si="18"/>
        <v>3</v>
      </c>
      <c r="Q676" s="4">
        <v>46447</v>
      </c>
      <c r="R676" s="7">
        <v>109.11974220472992</v>
      </c>
      <c r="S676" s="7">
        <v>112.87367922625457</v>
      </c>
      <c r="T676" s="8">
        <v>0.34165129616520928</v>
      </c>
      <c r="U676" s="7">
        <v>112.67700948087266</v>
      </c>
    </row>
    <row r="677" spans="1:21" x14ac:dyDescent="0.3">
      <c r="A677" s="4">
        <v>46478</v>
      </c>
      <c r="B677" s="13">
        <f t="shared" si="17"/>
        <v>63.191833500000001</v>
      </c>
      <c r="C677" s="12">
        <v>76.745062193367744</v>
      </c>
      <c r="D677" s="5">
        <f t="shared" si="18"/>
        <v>4</v>
      </c>
      <c r="Q677" s="4">
        <v>46478</v>
      </c>
      <c r="R677" s="7">
        <v>144.5272034140462</v>
      </c>
      <c r="S677" s="7">
        <v>142.79129217998954</v>
      </c>
      <c r="T677" s="8">
        <v>0.58115445559915169</v>
      </c>
      <c r="U677" s="7">
        <v>143.57274186149994</v>
      </c>
    </row>
    <row r="678" spans="1:21" x14ac:dyDescent="0.3">
      <c r="A678" s="4">
        <v>46508</v>
      </c>
      <c r="B678" s="13">
        <f t="shared" si="17"/>
        <v>56.554890899999997</v>
      </c>
      <c r="C678" s="12">
        <v>53.118431707844117</v>
      </c>
      <c r="D678" s="5">
        <f t="shared" si="18"/>
        <v>5</v>
      </c>
      <c r="Q678" s="4">
        <v>46508</v>
      </c>
      <c r="R678" s="7">
        <v>90.258728372172158</v>
      </c>
      <c r="S678" s="7">
        <v>95.176504490085179</v>
      </c>
      <c r="T678" s="8">
        <v>0.49771802124137932</v>
      </c>
      <c r="U678" s="7">
        <v>93.995693425353409</v>
      </c>
    </row>
    <row r="679" spans="1:21" x14ac:dyDescent="0.3">
      <c r="A679" s="4">
        <v>46539</v>
      </c>
      <c r="B679" s="13">
        <f t="shared" si="17"/>
        <v>117.2500866</v>
      </c>
      <c r="C679" s="12">
        <v>0.83149646707170177</v>
      </c>
      <c r="D679" s="5">
        <f t="shared" si="18"/>
        <v>6</v>
      </c>
      <c r="Q679" s="4">
        <v>46539</v>
      </c>
      <c r="R679" s="7">
        <v>0.84245222849795753</v>
      </c>
      <c r="S679" s="7">
        <v>3.7595596395603499</v>
      </c>
      <c r="T679" s="8">
        <v>9.3323693084283746E-2</v>
      </c>
      <c r="U679" s="7">
        <v>6.4879214951246142</v>
      </c>
    </row>
    <row r="680" spans="1:21" x14ac:dyDescent="0.3">
      <c r="A680" s="4">
        <v>46569</v>
      </c>
      <c r="B680" s="13">
        <f t="shared" si="17"/>
        <v>55.145026199999997</v>
      </c>
      <c r="C680" s="12">
        <v>3.5397942865529317</v>
      </c>
      <c r="D680" s="5">
        <f t="shared" si="18"/>
        <v>7</v>
      </c>
      <c r="Q680" s="4">
        <v>46569</v>
      </c>
      <c r="R680" s="7">
        <v>12.809407082593347</v>
      </c>
      <c r="S680" s="7">
        <v>17.416966016144681</v>
      </c>
      <c r="T680" s="8">
        <v>0.47008575529167212</v>
      </c>
      <c r="U680" s="7">
        <v>18.366723188253914</v>
      </c>
    </row>
    <row r="681" spans="1:21" x14ac:dyDescent="0.3">
      <c r="A681" s="4">
        <v>46600</v>
      </c>
      <c r="B681" s="13">
        <f t="shared" si="17"/>
        <v>171.9828191</v>
      </c>
      <c r="C681" s="12">
        <v>2.6035222093923953</v>
      </c>
      <c r="D681" s="5">
        <f t="shared" si="18"/>
        <v>8</v>
      </c>
      <c r="Q681" s="4">
        <v>46600</v>
      </c>
      <c r="R681" s="7">
        <v>14.160091757830939</v>
      </c>
      <c r="S681" s="7">
        <v>36.495143975009739</v>
      </c>
      <c r="T681" s="8">
        <v>0.47648555334930637</v>
      </c>
      <c r="U681" s="7">
        <v>25.85675723726045</v>
      </c>
    </row>
    <row r="682" spans="1:21" x14ac:dyDescent="0.3">
      <c r="A682" s="4">
        <v>46631</v>
      </c>
      <c r="B682" s="13">
        <f t="shared" si="17"/>
        <v>284.58998639999999</v>
      </c>
      <c r="C682" s="12">
        <v>22.247920307563632</v>
      </c>
      <c r="D682" s="5">
        <f t="shared" si="18"/>
        <v>9</v>
      </c>
      <c r="Q682" s="4">
        <v>46631</v>
      </c>
      <c r="R682" s="7">
        <v>74.549126920549568</v>
      </c>
      <c r="S682" s="7">
        <v>79.604230362671018</v>
      </c>
      <c r="T682" s="8">
        <v>0.72533697526975083</v>
      </c>
      <c r="U682" s="7">
        <v>76.319717653732638</v>
      </c>
    </row>
    <row r="683" spans="1:21" x14ac:dyDescent="0.3">
      <c r="A683" s="4">
        <v>46661</v>
      </c>
      <c r="B683" s="13">
        <f t="shared" si="17"/>
        <v>181.14749900000001</v>
      </c>
      <c r="C683" s="12">
        <v>56.704365788027729</v>
      </c>
      <c r="D683" s="5">
        <f t="shared" si="18"/>
        <v>10</v>
      </c>
      <c r="Q683" s="4">
        <v>46661</v>
      </c>
      <c r="R683" s="7">
        <v>139.17620277802808</v>
      </c>
      <c r="S683" s="7">
        <v>166.72451708387513</v>
      </c>
      <c r="T683" s="8">
        <v>0.5360748121234421</v>
      </c>
      <c r="U683" s="7">
        <v>162.94074878362576</v>
      </c>
    </row>
    <row r="684" spans="1:21" x14ac:dyDescent="0.3">
      <c r="A684" s="4">
        <v>46692</v>
      </c>
      <c r="B684" s="13">
        <f t="shared" si="17"/>
        <v>296.63207670000003</v>
      </c>
      <c r="C684" s="12">
        <v>72.040086204651729</v>
      </c>
      <c r="D684" s="5">
        <f t="shared" si="18"/>
        <v>11</v>
      </c>
      <c r="Q684" s="4">
        <v>46692</v>
      </c>
      <c r="R684" s="7">
        <v>156.13428624038875</v>
      </c>
      <c r="S684" s="7">
        <v>182.74505105718504</v>
      </c>
      <c r="T684" s="8">
        <v>0.40338713901253792</v>
      </c>
      <c r="U684" s="7">
        <v>178.69785214376205</v>
      </c>
    </row>
    <row r="685" spans="1:21" x14ac:dyDescent="0.3">
      <c r="A685" s="4">
        <v>46722</v>
      </c>
      <c r="B685" s="13">
        <f t="shared" si="17"/>
        <v>310.987437</v>
      </c>
      <c r="C685" s="12">
        <v>164.3205455504359</v>
      </c>
      <c r="D685" s="5">
        <f t="shared" si="18"/>
        <v>12</v>
      </c>
      <c r="Q685" s="4">
        <v>46722</v>
      </c>
      <c r="R685" s="7">
        <v>346.67278440301158</v>
      </c>
      <c r="S685" s="7">
        <v>330.69946519585005</v>
      </c>
      <c r="T685" s="8">
        <v>0.85210452840295769</v>
      </c>
      <c r="U685" s="7">
        <v>331.95556588870983</v>
      </c>
    </row>
    <row r="686" spans="1:21" x14ac:dyDescent="0.3">
      <c r="A686" s="4">
        <v>46753</v>
      </c>
      <c r="B686" s="13">
        <f t="shared" si="17"/>
        <v>95.8687106</v>
      </c>
      <c r="C686" s="12">
        <v>91.336259641684691</v>
      </c>
      <c r="D686" s="5">
        <f t="shared" si="18"/>
        <v>1</v>
      </c>
      <c r="Q686" s="4">
        <v>46753</v>
      </c>
      <c r="R686" s="7">
        <v>125.58986986001536</v>
      </c>
      <c r="S686" s="7">
        <v>110.99438318717685</v>
      </c>
      <c r="T686" s="8">
        <v>0.35229794382651136</v>
      </c>
      <c r="U686" s="7">
        <v>111.74503998458242</v>
      </c>
    </row>
    <row r="687" spans="1:21" x14ac:dyDescent="0.3">
      <c r="A687" s="4">
        <v>46784</v>
      </c>
      <c r="B687" s="13">
        <f t="shared" si="17"/>
        <v>78.962689800000007</v>
      </c>
      <c r="C687" s="12">
        <v>0.4031432443298395</v>
      </c>
      <c r="D687" s="5">
        <f t="shared" si="18"/>
        <v>2</v>
      </c>
      <c r="Q687" s="4">
        <v>46784</v>
      </c>
      <c r="R687" s="7">
        <v>0.78783064578597772</v>
      </c>
      <c r="S687" s="7">
        <v>2.8012988656954096</v>
      </c>
      <c r="T687" s="8">
        <v>1.1904320109848689E-7</v>
      </c>
      <c r="U687" s="7">
        <v>4.8079651663094838</v>
      </c>
    </row>
    <row r="688" spans="1:21" x14ac:dyDescent="0.3">
      <c r="A688" s="4">
        <v>46813</v>
      </c>
      <c r="B688" s="13">
        <f t="shared" si="17"/>
        <v>11.2363342</v>
      </c>
      <c r="C688" s="12">
        <v>10.337366095336632</v>
      </c>
      <c r="D688" s="5">
        <f t="shared" si="18"/>
        <v>3</v>
      </c>
      <c r="Q688" s="4">
        <v>46813</v>
      </c>
      <c r="R688" s="7">
        <v>22.028222434364459</v>
      </c>
      <c r="S688" s="7">
        <v>25.755714631792532</v>
      </c>
      <c r="T688" s="8">
        <v>4.4802693642618371E-3</v>
      </c>
      <c r="U688" s="7">
        <v>26.688310820554118</v>
      </c>
    </row>
    <row r="689" spans="1:21" x14ac:dyDescent="0.3">
      <c r="A689" s="4">
        <v>46844</v>
      </c>
      <c r="B689" s="13">
        <f t="shared" si="17"/>
        <v>40.150991300000001</v>
      </c>
      <c r="C689" s="12">
        <v>50.26381532661614</v>
      </c>
      <c r="D689" s="5">
        <f t="shared" si="18"/>
        <v>4</v>
      </c>
      <c r="Q689" s="4">
        <v>46844</v>
      </c>
      <c r="R689" s="7">
        <v>94.657407974629223</v>
      </c>
      <c r="S689" s="7">
        <v>88.469157767389817</v>
      </c>
      <c r="T689" s="8">
        <v>0.25385364618492984</v>
      </c>
      <c r="U689" s="7">
        <v>88.838940558908575</v>
      </c>
    </row>
    <row r="690" spans="1:21" x14ac:dyDescent="0.3">
      <c r="A690" s="4">
        <v>46874</v>
      </c>
      <c r="B690" s="13">
        <f t="shared" si="17"/>
        <v>57.343269999999997</v>
      </c>
      <c r="C690" s="12">
        <v>15.837590509909203</v>
      </c>
      <c r="D690" s="5">
        <f t="shared" si="18"/>
        <v>5</v>
      </c>
      <c r="Q690" s="4">
        <v>46874</v>
      </c>
      <c r="R690" s="7">
        <v>26.911200762964011</v>
      </c>
      <c r="S690" s="7">
        <v>34.161364394069437</v>
      </c>
      <c r="T690" s="8">
        <v>7.5666588483800937E-2</v>
      </c>
      <c r="U690" s="7">
        <v>34.398657874442279</v>
      </c>
    </row>
    <row r="691" spans="1:21" x14ac:dyDescent="0.3">
      <c r="A691" s="4">
        <v>46905</v>
      </c>
      <c r="B691" s="13">
        <f t="shared" si="17"/>
        <v>170.21428990000001</v>
      </c>
      <c r="C691" s="12">
        <v>11.48819182708394</v>
      </c>
      <c r="D691" s="5">
        <f t="shared" si="18"/>
        <v>6</v>
      </c>
      <c r="Q691" s="4">
        <v>46905</v>
      </c>
      <c r="R691" s="7">
        <v>11.639559744881407</v>
      </c>
      <c r="S691" s="7">
        <v>19.285462418013335</v>
      </c>
      <c r="T691" s="8">
        <v>0.4235629355313007</v>
      </c>
      <c r="U691" s="7">
        <v>20.905697133170772</v>
      </c>
    </row>
    <row r="692" spans="1:21" x14ac:dyDescent="0.3">
      <c r="A692" s="4">
        <v>46935</v>
      </c>
      <c r="B692" s="13">
        <f t="shared" si="17"/>
        <v>250.89636429999999</v>
      </c>
      <c r="C692" s="12">
        <v>6.6339769978185414E-2</v>
      </c>
      <c r="D692" s="5">
        <f t="shared" si="18"/>
        <v>7</v>
      </c>
      <c r="Q692" s="4">
        <v>46935</v>
      </c>
      <c r="R692" s="7">
        <v>0.24006285411678396</v>
      </c>
      <c r="S692" s="7">
        <v>0.97671914273288452</v>
      </c>
      <c r="T692" s="8">
        <v>4.006710522134025E-2</v>
      </c>
      <c r="U692" s="7">
        <v>2.0383310880005943</v>
      </c>
    </row>
    <row r="693" spans="1:21" x14ac:dyDescent="0.3">
      <c r="A693" s="4">
        <v>46966</v>
      </c>
      <c r="B693" s="13">
        <f t="shared" si="17"/>
        <v>306.42772009999999</v>
      </c>
      <c r="C693" s="12">
        <v>0.76428223355833402</v>
      </c>
      <c r="D693" s="5">
        <f t="shared" si="18"/>
        <v>8</v>
      </c>
      <c r="Q693" s="4">
        <v>46966</v>
      </c>
      <c r="R693" s="7">
        <v>4.1567944060641118</v>
      </c>
      <c r="S693" s="7">
        <v>25.750478840846863</v>
      </c>
      <c r="T693" s="8">
        <v>0.26140506807247516</v>
      </c>
      <c r="U693" s="7">
        <v>15.679936125350903</v>
      </c>
    </row>
    <row r="694" spans="1:21" x14ac:dyDescent="0.3">
      <c r="A694" s="4">
        <v>46997</v>
      </c>
      <c r="B694" s="13">
        <f t="shared" si="17"/>
        <v>262.97060329999999</v>
      </c>
      <c r="C694" s="12">
        <v>40.042107983026625</v>
      </c>
      <c r="D694" s="5">
        <f t="shared" si="18"/>
        <v>9</v>
      </c>
      <c r="Q694" s="4">
        <v>46997</v>
      </c>
      <c r="R694" s="7">
        <v>134.17452727831628</v>
      </c>
      <c r="S694" s="7">
        <v>114.53686962452619</v>
      </c>
      <c r="T694" s="8">
        <v>0.87876089361729337</v>
      </c>
      <c r="U694" s="7">
        <v>112.31240516750339</v>
      </c>
    </row>
    <row r="695" spans="1:21" x14ac:dyDescent="0.3">
      <c r="A695" s="4">
        <v>47027</v>
      </c>
      <c r="B695" s="13">
        <f t="shared" si="17"/>
        <v>154.41353050000001</v>
      </c>
      <c r="C695" s="12">
        <v>74.835604667896419</v>
      </c>
      <c r="D695" s="5">
        <f t="shared" si="18"/>
        <v>10</v>
      </c>
      <c r="Q695" s="4">
        <v>47027</v>
      </c>
      <c r="R695" s="7">
        <v>183.67783759737489</v>
      </c>
      <c r="S695" s="7">
        <v>195.60694923423125</v>
      </c>
      <c r="T695" s="8">
        <v>0.64958849864266621</v>
      </c>
      <c r="U695" s="7">
        <v>190.51634645834199</v>
      </c>
    </row>
    <row r="696" spans="1:21" x14ac:dyDescent="0.3">
      <c r="A696" s="4">
        <v>47058</v>
      </c>
      <c r="B696" s="13">
        <f t="shared" si="17"/>
        <v>75.799286199999997</v>
      </c>
      <c r="C696" s="12">
        <v>8.595058308856105</v>
      </c>
      <c r="D696" s="5">
        <f t="shared" si="18"/>
        <v>11</v>
      </c>
      <c r="Q696" s="4">
        <v>47058</v>
      </c>
      <c r="R696" s="7">
        <v>18.628285513643888</v>
      </c>
      <c r="S696" s="7">
        <v>51.013502594653517</v>
      </c>
      <c r="T696" s="8">
        <v>3.7078830422625471E-3</v>
      </c>
      <c r="U696" s="7">
        <v>56.168517306055463</v>
      </c>
    </row>
    <row r="697" spans="1:21" x14ac:dyDescent="0.3">
      <c r="A697" s="4">
        <v>47088</v>
      </c>
      <c r="B697" s="13">
        <f t="shared" si="17"/>
        <v>118.5327437</v>
      </c>
      <c r="C697" s="12">
        <v>25.523902793065655</v>
      </c>
      <c r="D697" s="5">
        <f t="shared" si="18"/>
        <v>12</v>
      </c>
      <c r="Q697" s="4">
        <v>47088</v>
      </c>
      <c r="R697" s="7">
        <v>53.848667678552523</v>
      </c>
      <c r="S697" s="7">
        <v>69.070082806434016</v>
      </c>
      <c r="T697" s="8">
        <v>1.2101187524930015E-2</v>
      </c>
      <c r="U697" s="7">
        <v>69.241949409110077</v>
      </c>
    </row>
    <row r="698" spans="1:21" x14ac:dyDescent="0.3">
      <c r="A698" s="4">
        <v>47119</v>
      </c>
      <c r="B698" s="13">
        <f t="shared" si="17"/>
        <v>186.28224929999999</v>
      </c>
      <c r="C698" s="12">
        <v>43.099825945682802</v>
      </c>
      <c r="D698" s="5">
        <f t="shared" si="18"/>
        <v>1</v>
      </c>
      <c r="Q698" s="4">
        <v>47119</v>
      </c>
      <c r="R698" s="7">
        <v>59.263446442219291</v>
      </c>
      <c r="S698" s="7">
        <v>41.224045018278467</v>
      </c>
      <c r="T698" s="8">
        <v>4.3490402257481825E-2</v>
      </c>
      <c r="U698" s="7">
        <v>38.711770650083828</v>
      </c>
    </row>
    <row r="699" spans="1:21" x14ac:dyDescent="0.3">
      <c r="A699" s="4">
        <v>47150</v>
      </c>
      <c r="B699" s="13">
        <f t="shared" si="17"/>
        <v>71.746521400000006</v>
      </c>
      <c r="C699" s="12">
        <v>112.62232717126612</v>
      </c>
      <c r="D699" s="5">
        <f t="shared" si="18"/>
        <v>2</v>
      </c>
      <c r="Q699" s="4">
        <v>47150</v>
      </c>
      <c r="R699" s="7">
        <v>220.08881952803918</v>
      </c>
      <c r="S699" s="7">
        <v>219.74604917160235</v>
      </c>
      <c r="T699" s="8">
        <v>0.65913617732250473</v>
      </c>
      <c r="U699" s="7">
        <v>218.09450081565211</v>
      </c>
    </row>
    <row r="700" spans="1:21" x14ac:dyDescent="0.3">
      <c r="A700" s="4">
        <v>47178</v>
      </c>
      <c r="B700" s="13">
        <f t="shared" si="17"/>
        <v>21.484575899999999</v>
      </c>
      <c r="C700" s="12">
        <v>22.879768966231495</v>
      </c>
      <c r="D700" s="5">
        <f t="shared" si="18"/>
        <v>3</v>
      </c>
      <c r="Q700" s="4">
        <v>47178</v>
      </c>
      <c r="R700" s="7">
        <v>48.755227916556031</v>
      </c>
      <c r="S700" s="7">
        <v>53.641169433018426</v>
      </c>
      <c r="T700" s="8">
        <v>5.0851243391877549E-2</v>
      </c>
      <c r="U700" s="7">
        <v>54.231938394603276</v>
      </c>
    </row>
    <row r="701" spans="1:21" x14ac:dyDescent="0.3">
      <c r="A701" s="4">
        <v>47209</v>
      </c>
      <c r="B701" s="13">
        <f t="shared" si="17"/>
        <v>4.7826126999999996</v>
      </c>
      <c r="C701" s="12">
        <v>84.804732003249342</v>
      </c>
      <c r="D701" s="5">
        <f t="shared" si="18"/>
        <v>4</v>
      </c>
      <c r="Q701" s="4">
        <v>47209</v>
      </c>
      <c r="R701" s="7">
        <v>159.70526835753216</v>
      </c>
      <c r="S701" s="7">
        <v>159.86805296315529</v>
      </c>
      <c r="T701" s="8">
        <v>0.66555378529299358</v>
      </c>
      <c r="U701" s="7">
        <v>160.59787282281582</v>
      </c>
    </row>
    <row r="702" spans="1:21" x14ac:dyDescent="0.3">
      <c r="A702" s="4">
        <v>47239</v>
      </c>
      <c r="B702" s="13">
        <f t="shared" si="17"/>
        <v>31.767519499999999</v>
      </c>
      <c r="C702" s="12">
        <v>75.607082893839177</v>
      </c>
      <c r="D702" s="5">
        <f t="shared" si="18"/>
        <v>5</v>
      </c>
      <c r="Q702" s="4">
        <v>47239</v>
      </c>
      <c r="R702" s="7">
        <v>128.47139756423925</v>
      </c>
      <c r="S702" s="7">
        <v>128.33504111801437</v>
      </c>
      <c r="T702" s="8">
        <v>0.69899494811581309</v>
      </c>
      <c r="U702" s="7">
        <v>127.30579267432175</v>
      </c>
    </row>
    <row r="703" spans="1:21" x14ac:dyDescent="0.3">
      <c r="A703" s="4">
        <v>47270</v>
      </c>
      <c r="B703" s="13">
        <f t="shared" si="17"/>
        <v>63.881723899999997</v>
      </c>
      <c r="C703" s="12">
        <v>9.6269380373996736</v>
      </c>
      <c r="D703" s="5">
        <f t="shared" si="18"/>
        <v>6</v>
      </c>
      <c r="Q703" s="4">
        <v>47270</v>
      </c>
      <c r="R703" s="7">
        <v>9.7537821559015061</v>
      </c>
      <c r="S703" s="7">
        <v>17.275528673348848</v>
      </c>
      <c r="T703" s="8">
        <v>0.38569420980360902</v>
      </c>
      <c r="U703" s="7">
        <v>19.157359065468516</v>
      </c>
    </row>
    <row r="704" spans="1:21" x14ac:dyDescent="0.3">
      <c r="A704" s="4">
        <v>47300</v>
      </c>
      <c r="B704" s="13">
        <f t="shared" ref="B704:B767" si="19">B323</f>
        <v>332.53692849999999</v>
      </c>
      <c r="C704" s="12">
        <v>10.39995522005484</v>
      </c>
      <c r="D704" s="5">
        <f t="shared" si="18"/>
        <v>7</v>
      </c>
      <c r="Q704" s="4">
        <v>47300</v>
      </c>
      <c r="R704" s="7">
        <v>37.634181330958562</v>
      </c>
      <c r="S704" s="7">
        <v>38.02198668447015</v>
      </c>
      <c r="T704" s="8">
        <v>0.76637153801933922</v>
      </c>
      <c r="U704" s="7">
        <v>37.242913464636572</v>
      </c>
    </row>
    <row r="705" spans="1:21" x14ac:dyDescent="0.3">
      <c r="A705" s="4">
        <v>47331</v>
      </c>
      <c r="B705" s="13">
        <f t="shared" si="19"/>
        <v>253.2747244</v>
      </c>
      <c r="C705" s="12">
        <v>13.809973020397594</v>
      </c>
      <c r="D705" s="5">
        <f t="shared" si="18"/>
        <v>8</v>
      </c>
      <c r="Q705" s="4">
        <v>47331</v>
      </c>
      <c r="R705" s="7">
        <v>75.10997387943803</v>
      </c>
      <c r="S705" s="7">
        <v>58.668370961316469</v>
      </c>
      <c r="T705" s="8">
        <v>0.87222902411150849</v>
      </c>
      <c r="U705" s="7">
        <v>59.255216819302497</v>
      </c>
    </row>
    <row r="706" spans="1:21" x14ac:dyDescent="0.3">
      <c r="A706" s="4">
        <v>47362</v>
      </c>
      <c r="B706" s="13">
        <f t="shared" si="19"/>
        <v>287.70162800000003</v>
      </c>
      <c r="C706" s="12">
        <v>6.5931048447964704</v>
      </c>
      <c r="D706" s="5">
        <f t="shared" si="18"/>
        <v>9</v>
      </c>
      <c r="Q706" s="4">
        <v>47362</v>
      </c>
      <c r="R706" s="7">
        <v>22.092411473989479</v>
      </c>
      <c r="S706" s="7">
        <v>37.491464960861833</v>
      </c>
      <c r="T706" s="8">
        <v>0.38889605525890536</v>
      </c>
      <c r="U706" s="7">
        <v>37.168837852151213</v>
      </c>
    </row>
    <row r="707" spans="1:21" x14ac:dyDescent="0.3">
      <c r="A707" s="4">
        <v>47392</v>
      </c>
      <c r="B707" s="13">
        <f t="shared" si="19"/>
        <v>93.674177</v>
      </c>
      <c r="C707" s="12">
        <v>21.36320403660649</v>
      </c>
      <c r="D707" s="5">
        <f t="shared" ref="D707:D770" si="20">MONTH(A707)</f>
        <v>10</v>
      </c>
      <c r="Q707" s="4">
        <v>47392</v>
      </c>
      <c r="R707" s="7">
        <v>52.43422751789052</v>
      </c>
      <c r="S707" s="7">
        <v>95.031836911876098</v>
      </c>
      <c r="T707" s="8">
        <v>0.22182699729476466</v>
      </c>
      <c r="U707" s="7">
        <v>98.118549492610342</v>
      </c>
    </row>
    <row r="708" spans="1:21" x14ac:dyDescent="0.3">
      <c r="A708" s="4">
        <v>47423</v>
      </c>
      <c r="B708" s="13">
        <f t="shared" si="19"/>
        <v>219.35314030000001</v>
      </c>
      <c r="C708" s="12">
        <v>103.15812332555646</v>
      </c>
      <c r="D708" s="5">
        <f t="shared" si="20"/>
        <v>11</v>
      </c>
      <c r="Q708" s="4">
        <v>47423</v>
      </c>
      <c r="R708" s="7">
        <v>223.57718881093916</v>
      </c>
      <c r="S708" s="7">
        <v>226.68931801108241</v>
      </c>
      <c r="T708" s="8">
        <v>0.63012233956696773</v>
      </c>
      <c r="U708" s="7">
        <v>223.33541680219386</v>
      </c>
    </row>
    <row r="709" spans="1:21" x14ac:dyDescent="0.3">
      <c r="A709" s="4">
        <v>47453</v>
      </c>
      <c r="B709" s="13">
        <f t="shared" si="19"/>
        <v>120.72031680000001</v>
      </c>
      <c r="C709" s="12">
        <v>51.871847617439833</v>
      </c>
      <c r="D709" s="5">
        <f t="shared" si="20"/>
        <v>12</v>
      </c>
      <c r="Q709" s="4">
        <v>47453</v>
      </c>
      <c r="R709" s="7">
        <v>109.43584556288548</v>
      </c>
      <c r="S709" s="7">
        <v>125.40097796579578</v>
      </c>
      <c r="T709" s="8">
        <v>0.11347191813783733</v>
      </c>
      <c r="U709" s="7">
        <v>123.94663736274381</v>
      </c>
    </row>
    <row r="710" spans="1:21" x14ac:dyDescent="0.3">
      <c r="A710" s="4">
        <v>47484</v>
      </c>
      <c r="B710" s="13">
        <f t="shared" si="19"/>
        <v>47.585153300000002</v>
      </c>
      <c r="C710" s="12">
        <v>30.930220987647782</v>
      </c>
      <c r="D710" s="5">
        <f t="shared" si="20"/>
        <v>1</v>
      </c>
      <c r="Q710" s="4">
        <v>47484</v>
      </c>
      <c r="R710" s="7">
        <v>42.529904813480613</v>
      </c>
      <c r="S710" s="7">
        <v>26.614679132748225</v>
      </c>
      <c r="T710" s="8">
        <v>1.3357802816142373E-2</v>
      </c>
      <c r="U710" s="7">
        <v>23.654252529660599</v>
      </c>
    </row>
    <row r="711" spans="1:21" x14ac:dyDescent="0.3">
      <c r="A711" s="4">
        <v>47515</v>
      </c>
      <c r="B711" s="13">
        <f t="shared" si="19"/>
        <v>199.48006409999999</v>
      </c>
      <c r="C711" s="12">
        <v>109.38260927796371</v>
      </c>
      <c r="D711" s="5">
        <f t="shared" si="20"/>
        <v>2</v>
      </c>
      <c r="Q711" s="4">
        <v>47515</v>
      </c>
      <c r="R711" s="7">
        <v>213.75769758579335</v>
      </c>
      <c r="S711" s="7">
        <v>214.83414596295381</v>
      </c>
      <c r="T711" s="8">
        <v>0.63924941689499215</v>
      </c>
      <c r="U711" s="7">
        <v>213.17253306589828</v>
      </c>
    </row>
    <row r="712" spans="1:21" x14ac:dyDescent="0.3">
      <c r="A712" s="4">
        <v>47543</v>
      </c>
      <c r="B712" s="13">
        <f t="shared" si="19"/>
        <v>28.547926499999999</v>
      </c>
      <c r="C712" s="12">
        <v>145.98368470324209</v>
      </c>
      <c r="D712" s="5">
        <f t="shared" si="20"/>
        <v>3</v>
      </c>
      <c r="Q712" s="4">
        <v>47543</v>
      </c>
      <c r="R712" s="7">
        <v>311.08128016108782</v>
      </c>
      <c r="S712" s="7">
        <v>296.98173979358603</v>
      </c>
      <c r="T712" s="8">
        <v>0.95954849726550329</v>
      </c>
      <c r="U712" s="7">
        <v>297.99406554503219</v>
      </c>
    </row>
    <row r="713" spans="1:21" x14ac:dyDescent="0.3">
      <c r="A713" s="4">
        <v>47574</v>
      </c>
      <c r="B713" s="13">
        <f t="shared" si="19"/>
        <v>3.2116576000000001</v>
      </c>
      <c r="C713" s="12">
        <v>58.796664525289152</v>
      </c>
      <c r="D713" s="5">
        <f t="shared" si="20"/>
        <v>4</v>
      </c>
      <c r="Q713" s="4">
        <v>47574</v>
      </c>
      <c r="R713" s="7">
        <v>110.72656990625602</v>
      </c>
      <c r="S713" s="7">
        <v>105.63889169704142</v>
      </c>
      <c r="T713" s="8">
        <v>0.36138855588318619</v>
      </c>
      <c r="U713" s="7">
        <v>106.23353039249368</v>
      </c>
    </row>
    <row r="714" spans="1:21" x14ac:dyDescent="0.3">
      <c r="A714" s="4">
        <v>47604</v>
      </c>
      <c r="B714" s="13">
        <f t="shared" si="19"/>
        <v>14.8774441</v>
      </c>
      <c r="C714" s="12">
        <v>51.890989631647336</v>
      </c>
      <c r="D714" s="5">
        <f t="shared" si="20"/>
        <v>5</v>
      </c>
      <c r="Q714" s="4">
        <v>47604</v>
      </c>
      <c r="R714" s="7">
        <v>88.173061356297893</v>
      </c>
      <c r="S714" s="7">
        <v>93.310999226874117</v>
      </c>
      <c r="T714" s="8">
        <v>0.4846372001018413</v>
      </c>
      <c r="U714" s="7">
        <v>92.1421295195033</v>
      </c>
    </row>
    <row r="715" spans="1:21" x14ac:dyDescent="0.3">
      <c r="A715" s="4">
        <v>47635</v>
      </c>
      <c r="B715" s="13">
        <f t="shared" si="19"/>
        <v>73.299382199999997</v>
      </c>
      <c r="C715" s="12">
        <v>6.4898237542365642</v>
      </c>
      <c r="D715" s="5">
        <f t="shared" si="20"/>
        <v>6</v>
      </c>
      <c r="Q715" s="4">
        <v>47635</v>
      </c>
      <c r="R715" s="7">
        <v>6.5753333908562617</v>
      </c>
      <c r="S715" s="7">
        <v>13.514344251863211</v>
      </c>
      <c r="T715" s="8">
        <v>0.31076454969276601</v>
      </c>
      <c r="U715" s="7">
        <v>15.85572030849027</v>
      </c>
    </row>
    <row r="716" spans="1:21" x14ac:dyDescent="0.3">
      <c r="A716" s="4">
        <v>47665</v>
      </c>
      <c r="B716" s="13">
        <f t="shared" si="19"/>
        <v>46.367444399999997</v>
      </c>
      <c r="C716" s="12">
        <v>8.6346579882956593</v>
      </c>
      <c r="D716" s="5">
        <f t="shared" si="20"/>
        <v>7</v>
      </c>
      <c r="Q716" s="4">
        <v>47665</v>
      </c>
      <c r="R716" s="7">
        <v>31.246123429040608</v>
      </c>
      <c r="S716" s="7">
        <v>33.228629680024589</v>
      </c>
      <c r="T716" s="8">
        <v>0.71492719064205623</v>
      </c>
      <c r="U716" s="7">
        <v>32.783688935667882</v>
      </c>
    </row>
    <row r="717" spans="1:21" x14ac:dyDescent="0.3">
      <c r="A717" s="4">
        <v>47696</v>
      </c>
      <c r="B717" s="13">
        <f t="shared" si="19"/>
        <v>393.89061720000001</v>
      </c>
      <c r="C717" s="12">
        <v>6.5512816047053091E-6</v>
      </c>
      <c r="D717" s="5">
        <f t="shared" si="20"/>
        <v>8</v>
      </c>
      <c r="Q717" s="4">
        <v>47696</v>
      </c>
      <c r="R717" s="7">
        <v>3.563124920515535E-5</v>
      </c>
      <c r="S717" s="7">
        <v>0.93146299109376751</v>
      </c>
      <c r="T717" s="8">
        <v>5.2358438487495841E-4</v>
      </c>
      <c r="U717" s="7">
        <v>0.42612615321850972</v>
      </c>
    </row>
    <row r="718" spans="1:21" x14ac:dyDescent="0.3">
      <c r="A718" s="4">
        <v>47727</v>
      </c>
      <c r="B718" s="13">
        <f t="shared" si="19"/>
        <v>278.4791869</v>
      </c>
      <c r="C718" s="12">
        <v>2.0977071741328129E-11</v>
      </c>
      <c r="D718" s="5">
        <f t="shared" si="20"/>
        <v>9</v>
      </c>
      <c r="Q718" s="4">
        <v>47727</v>
      </c>
      <c r="R718" s="7">
        <v>7.0290722101071674E-11</v>
      </c>
      <c r="S718" s="7">
        <v>2.8577534675023243E-6</v>
      </c>
      <c r="T718" s="8">
        <v>4.3197057718633477E-9</v>
      </c>
      <c r="U718" s="7">
        <v>3.7602243448880035E-4</v>
      </c>
    </row>
    <row r="719" spans="1:21" x14ac:dyDescent="0.3">
      <c r="A719" s="4">
        <v>47757</v>
      </c>
      <c r="B719" s="13">
        <f t="shared" si="19"/>
        <v>92.646544899999995</v>
      </c>
      <c r="C719" s="12">
        <v>6.100071268156178</v>
      </c>
      <c r="D719" s="5">
        <f t="shared" si="20"/>
        <v>10</v>
      </c>
      <c r="Q719" s="4">
        <v>47757</v>
      </c>
      <c r="R719" s="7">
        <v>14.972123292075997</v>
      </c>
      <c r="S719" s="7">
        <v>46.176131297729562</v>
      </c>
      <c r="T719" s="8">
        <v>5.5525443752665847E-2</v>
      </c>
      <c r="U719" s="7">
        <v>55.1476726597731</v>
      </c>
    </row>
    <row r="720" spans="1:21" x14ac:dyDescent="0.3">
      <c r="A720" s="4">
        <v>47788</v>
      </c>
      <c r="B720" s="13">
        <f t="shared" si="19"/>
        <v>245.68098119999999</v>
      </c>
      <c r="C720" s="12">
        <v>51.401756121776948</v>
      </c>
      <c r="D720" s="5">
        <f t="shared" si="20"/>
        <v>11</v>
      </c>
      <c r="Q720" s="4">
        <v>47788</v>
      </c>
      <c r="R720" s="7">
        <v>111.40431565805029</v>
      </c>
      <c r="S720" s="7">
        <v>149.23188635258825</v>
      </c>
      <c r="T720" s="8">
        <v>0.23264668839577254</v>
      </c>
      <c r="U720" s="7">
        <v>146.1392985831979</v>
      </c>
    </row>
    <row r="721" spans="1:21" x14ac:dyDescent="0.3">
      <c r="A721" s="4">
        <v>47818</v>
      </c>
      <c r="B721" s="13">
        <f t="shared" si="19"/>
        <v>237.6622988</v>
      </c>
      <c r="C721" s="12">
        <v>45.960390230174994</v>
      </c>
      <c r="D721" s="5">
        <f t="shared" si="20"/>
        <v>12</v>
      </c>
      <c r="Q721" s="4">
        <v>47818</v>
      </c>
      <c r="R721" s="7">
        <v>96.964237794921743</v>
      </c>
      <c r="S721" s="7">
        <v>113.26839640433728</v>
      </c>
      <c r="T721" s="8">
        <v>8.0554404303856242E-2</v>
      </c>
      <c r="U721" s="7">
        <v>112.09423543515722</v>
      </c>
    </row>
    <row r="722" spans="1:21" x14ac:dyDescent="0.3">
      <c r="A722" s="4">
        <v>47849</v>
      </c>
      <c r="B722" s="13">
        <f t="shared" si="19"/>
        <v>132.45578080000001</v>
      </c>
      <c r="C722" s="12">
        <v>105.71870872518049</v>
      </c>
      <c r="D722" s="5">
        <f t="shared" si="20"/>
        <v>1</v>
      </c>
      <c r="Q722" s="4">
        <v>47849</v>
      </c>
      <c r="R722" s="7">
        <v>145.36613304126092</v>
      </c>
      <c r="S722" s="7">
        <v>134.60347219329762</v>
      </c>
      <c r="T722" s="8">
        <v>0.46731436167780727</v>
      </c>
      <c r="U722" s="7">
        <v>136.10209936476798</v>
      </c>
    </row>
    <row r="723" spans="1:21" x14ac:dyDescent="0.3">
      <c r="A723" s="4">
        <v>47880</v>
      </c>
      <c r="B723" s="13">
        <f t="shared" si="19"/>
        <v>66.5582864</v>
      </c>
      <c r="C723" s="12">
        <v>270.45400980859995</v>
      </c>
      <c r="D723" s="5">
        <f t="shared" si="20"/>
        <v>2</v>
      </c>
      <c r="Q723" s="4">
        <v>47880</v>
      </c>
      <c r="R723" s="7">
        <v>528.52667184616757</v>
      </c>
      <c r="S723" s="7">
        <v>433.10710696850009</v>
      </c>
      <c r="T723" s="8">
        <v>0.98954376681812539</v>
      </c>
      <c r="U723" s="7">
        <v>442.97280088371571</v>
      </c>
    </row>
    <row r="724" spans="1:21" x14ac:dyDescent="0.3">
      <c r="A724" s="4">
        <v>47908</v>
      </c>
      <c r="B724" s="13">
        <f t="shared" si="19"/>
        <v>8.6148074000000001</v>
      </c>
      <c r="C724" s="12">
        <v>107.46284876950087</v>
      </c>
      <c r="D724" s="5">
        <f t="shared" si="20"/>
        <v>3</v>
      </c>
      <c r="Q724" s="4">
        <v>47908</v>
      </c>
      <c r="R724" s="7">
        <v>228.99600481334667</v>
      </c>
      <c r="S724" s="7">
        <v>223.80513578501453</v>
      </c>
      <c r="T724" s="8">
        <v>0.84908518054690529</v>
      </c>
      <c r="U724" s="7">
        <v>223.64069917044458</v>
      </c>
    </row>
    <row r="725" spans="1:21" x14ac:dyDescent="0.3">
      <c r="A725" s="4">
        <v>47939</v>
      </c>
      <c r="B725" s="13">
        <f t="shared" si="19"/>
        <v>32.132247599999999</v>
      </c>
      <c r="C725" s="12">
        <v>85.241333814337807</v>
      </c>
      <c r="D725" s="5">
        <f t="shared" si="20"/>
        <v>4</v>
      </c>
      <c r="Q725" s="4">
        <v>47939</v>
      </c>
      <c r="R725" s="7">
        <v>160.5274820213003</v>
      </c>
      <c r="S725" s="7">
        <v>160.79940726065857</v>
      </c>
      <c r="T725" s="8">
        <v>0.66978919059517295</v>
      </c>
      <c r="U725" s="7">
        <v>161.52397595472047</v>
      </c>
    </row>
    <row r="726" spans="1:21" x14ac:dyDescent="0.3">
      <c r="A726" s="4">
        <v>47969</v>
      </c>
      <c r="B726" s="13">
        <f t="shared" si="19"/>
        <v>43.015059200000003</v>
      </c>
      <c r="C726" s="12">
        <v>15.736840374302107</v>
      </c>
      <c r="D726" s="5">
        <f t="shared" si="20"/>
        <v>5</v>
      </c>
      <c r="Q726" s="4">
        <v>47969</v>
      </c>
      <c r="R726" s="7">
        <v>26.7400063426687</v>
      </c>
      <c r="S726" s="7">
        <v>33.977270438783982</v>
      </c>
      <c r="T726" s="8">
        <v>7.4767010491767122E-2</v>
      </c>
      <c r="U726" s="7">
        <v>34.221119124468082</v>
      </c>
    </row>
    <row r="727" spans="1:21" x14ac:dyDescent="0.3">
      <c r="A727" s="4">
        <v>48000</v>
      </c>
      <c r="B727" s="13">
        <f t="shared" si="19"/>
        <v>75.940491399999999</v>
      </c>
      <c r="C727" s="12">
        <v>29.966562433401034</v>
      </c>
      <c r="D727" s="5">
        <f t="shared" si="20"/>
        <v>6</v>
      </c>
      <c r="Q727" s="4">
        <v>48000</v>
      </c>
      <c r="R727" s="7">
        <v>30.361400561747562</v>
      </c>
      <c r="S727" s="7">
        <v>35.03504827131507</v>
      </c>
      <c r="T727" s="8">
        <v>0.66688621985277274</v>
      </c>
      <c r="U727" s="7">
        <v>34.701107941516739</v>
      </c>
    </row>
    <row r="728" spans="1:21" x14ac:dyDescent="0.3">
      <c r="A728" s="4">
        <v>48030</v>
      </c>
      <c r="B728" s="13">
        <f t="shared" si="19"/>
        <v>143.45120650000001</v>
      </c>
      <c r="C728" s="12">
        <v>0.13496153979986059</v>
      </c>
      <c r="D728" s="5">
        <f t="shared" si="20"/>
        <v>7</v>
      </c>
      <c r="Q728" s="4">
        <v>48030</v>
      </c>
      <c r="R728" s="7">
        <v>0.48838355108865089</v>
      </c>
      <c r="S728" s="7">
        <v>1.6338179887100908</v>
      </c>
      <c r="T728" s="8">
        <v>6.3378345303105973E-2</v>
      </c>
      <c r="U728" s="7">
        <v>2.9413938098195098</v>
      </c>
    </row>
    <row r="729" spans="1:21" x14ac:dyDescent="0.3">
      <c r="A729" s="4">
        <v>48061</v>
      </c>
      <c r="B729" s="13">
        <f t="shared" si="19"/>
        <v>309.71860800000002</v>
      </c>
      <c r="C729" s="12">
        <v>1.4246599663181321E-2</v>
      </c>
      <c r="D729" s="5">
        <f t="shared" si="20"/>
        <v>8</v>
      </c>
      <c r="Q729" s="4">
        <v>48061</v>
      </c>
      <c r="R729" s="7">
        <v>7.7484708115784007E-2</v>
      </c>
      <c r="S729" s="7">
        <v>8.2928449793719281</v>
      </c>
      <c r="T729" s="8">
        <v>3.1826671781217182E-2</v>
      </c>
      <c r="U729" s="7">
        <v>4.0969914956964208</v>
      </c>
    </row>
    <row r="730" spans="1:21" x14ac:dyDescent="0.3">
      <c r="A730" s="4">
        <v>48092</v>
      </c>
      <c r="B730" s="13">
        <f t="shared" si="19"/>
        <v>333.00541329999999</v>
      </c>
      <c r="C730" s="12">
        <v>62.088585225865195</v>
      </c>
      <c r="D730" s="5">
        <f t="shared" si="20"/>
        <v>9</v>
      </c>
      <c r="Q730" s="4">
        <v>48092</v>
      </c>
      <c r="R730" s="7">
        <v>208.04865157426781</v>
      </c>
      <c r="S730" s="7">
        <v>150.27233128773642</v>
      </c>
      <c r="T730" s="8">
        <v>0.95390667946077556</v>
      </c>
      <c r="U730" s="7">
        <v>152.74630963199809</v>
      </c>
    </row>
    <row r="731" spans="1:21" x14ac:dyDescent="0.3">
      <c r="A731" s="4">
        <v>48122</v>
      </c>
      <c r="B731" s="13">
        <f t="shared" si="19"/>
        <v>131.2796367</v>
      </c>
      <c r="C731" s="12">
        <v>8.555085137049911</v>
      </c>
      <c r="D731" s="5">
        <f t="shared" si="20"/>
        <v>10</v>
      </c>
      <c r="Q731" s="4">
        <v>48122</v>
      </c>
      <c r="R731" s="7">
        <v>20.997752946718318</v>
      </c>
      <c r="S731" s="7">
        <v>56.105231834557912</v>
      </c>
      <c r="T731" s="8">
        <v>8.1913932304316137E-2</v>
      </c>
      <c r="U731" s="7">
        <v>64.002812540084733</v>
      </c>
    </row>
    <row r="732" spans="1:21" x14ac:dyDescent="0.3">
      <c r="A732" s="4">
        <v>48153</v>
      </c>
      <c r="B732" s="13">
        <f t="shared" si="19"/>
        <v>250.69021900000001</v>
      </c>
      <c r="C732" s="12">
        <v>186.31763756275186</v>
      </c>
      <c r="D732" s="5">
        <f t="shared" si="20"/>
        <v>11</v>
      </c>
      <c r="Q732" s="4">
        <v>48153</v>
      </c>
      <c r="R732" s="7">
        <v>403.810890400868</v>
      </c>
      <c r="S732" s="7">
        <v>323.24165899980562</v>
      </c>
      <c r="T732" s="8">
        <v>0.92653951783604127</v>
      </c>
      <c r="U732" s="7">
        <v>329.64129359764314</v>
      </c>
    </row>
    <row r="733" spans="1:21" x14ac:dyDescent="0.3">
      <c r="A733" s="4">
        <v>48183</v>
      </c>
      <c r="B733" s="13">
        <f t="shared" si="19"/>
        <v>118.38131490000001</v>
      </c>
      <c r="C733" s="12">
        <v>145.70809621363875</v>
      </c>
      <c r="D733" s="5">
        <f t="shared" si="20"/>
        <v>12</v>
      </c>
      <c r="Q733" s="4">
        <v>48183</v>
      </c>
      <c r="R733" s="7">
        <v>307.40545106661534</v>
      </c>
      <c r="S733" s="7">
        <v>298.9008223985943</v>
      </c>
      <c r="T733" s="8">
        <v>0.7788292366504781</v>
      </c>
      <c r="U733" s="7">
        <v>298.82765635514301</v>
      </c>
    </row>
    <row r="734" spans="1:21" x14ac:dyDescent="0.3">
      <c r="A734" s="4">
        <v>48214</v>
      </c>
      <c r="B734" s="13">
        <f t="shared" si="19"/>
        <v>107.1615019</v>
      </c>
      <c r="C734" s="12">
        <v>99.367301689926521</v>
      </c>
      <c r="D734" s="5">
        <f t="shared" si="20"/>
        <v>1</v>
      </c>
      <c r="Q734" s="4">
        <v>48214</v>
      </c>
      <c r="R734" s="7">
        <v>136.63277362721411</v>
      </c>
      <c r="S734" s="7">
        <v>124.04220895077727</v>
      </c>
      <c r="T734" s="8">
        <v>0.41698354220895406</v>
      </c>
      <c r="U734" s="7">
        <v>125.23923892355961</v>
      </c>
    </row>
    <row r="735" spans="1:21" x14ac:dyDescent="0.3">
      <c r="A735" s="4">
        <v>48245</v>
      </c>
      <c r="B735" s="13">
        <f t="shared" si="19"/>
        <v>69.903994800000007</v>
      </c>
      <c r="C735" s="12">
        <v>60.402342391898905</v>
      </c>
      <c r="D735" s="5">
        <f t="shared" si="20"/>
        <v>2</v>
      </c>
      <c r="Q735" s="4">
        <v>48245</v>
      </c>
      <c r="R735" s="7">
        <v>118.03947376744672</v>
      </c>
      <c r="S735" s="7">
        <v>135.63235701249334</v>
      </c>
      <c r="T735" s="8">
        <v>0.26407449091441215</v>
      </c>
      <c r="U735" s="7">
        <v>135.38173383214152</v>
      </c>
    </row>
    <row r="736" spans="1:21" x14ac:dyDescent="0.3">
      <c r="A736" s="4">
        <v>48274</v>
      </c>
      <c r="B736" s="13">
        <f t="shared" si="19"/>
        <v>32.782235300000004</v>
      </c>
      <c r="C736" s="12">
        <v>181.9713047705591</v>
      </c>
      <c r="D736" s="5">
        <f t="shared" si="20"/>
        <v>3</v>
      </c>
      <c r="Q736" s="4">
        <v>48274</v>
      </c>
      <c r="R736" s="7">
        <v>387.76844519086052</v>
      </c>
      <c r="S736" s="7">
        <v>364.00005917903491</v>
      </c>
      <c r="T736" s="8">
        <v>0.98957891076277205</v>
      </c>
      <c r="U736" s="7">
        <v>366.81768048892542</v>
      </c>
    </row>
    <row r="737" spans="1:21" x14ac:dyDescent="0.3">
      <c r="A737" s="4">
        <v>48305</v>
      </c>
      <c r="B737" s="13">
        <f t="shared" si="19"/>
        <v>12.7690757</v>
      </c>
      <c r="C737" s="12">
        <v>86.710292729549209</v>
      </c>
      <c r="D737" s="5">
        <f t="shared" si="20"/>
        <v>4</v>
      </c>
      <c r="Q737" s="4">
        <v>48305</v>
      </c>
      <c r="R737" s="7">
        <v>163.29384272097255</v>
      </c>
      <c r="S737" s="7">
        <v>163.93755571620568</v>
      </c>
      <c r="T737" s="8">
        <v>0.68377569125954452</v>
      </c>
      <c r="U737" s="7">
        <v>164.64259895084854</v>
      </c>
    </row>
    <row r="738" spans="1:21" x14ac:dyDescent="0.3">
      <c r="A738" s="4">
        <v>48335</v>
      </c>
      <c r="B738" s="13">
        <f t="shared" si="19"/>
        <v>9.9442385000000009</v>
      </c>
      <c r="C738" s="12">
        <v>8.9468575897626703</v>
      </c>
      <c r="D738" s="5">
        <f t="shared" si="20"/>
        <v>5</v>
      </c>
      <c r="Q738" s="4">
        <v>48335</v>
      </c>
      <c r="R738" s="7">
        <v>15.202481756622451</v>
      </c>
      <c r="S738" s="7">
        <v>21.0637146661205</v>
      </c>
      <c r="T738" s="8">
        <v>2.4699027255415736E-2</v>
      </c>
      <c r="U738" s="7">
        <v>21.744418564069665</v>
      </c>
    </row>
    <row r="739" spans="1:21" x14ac:dyDescent="0.3">
      <c r="A739" s="4">
        <v>48366</v>
      </c>
      <c r="B739" s="13">
        <f t="shared" si="19"/>
        <v>64.800785300000001</v>
      </c>
      <c r="C739" s="12">
        <v>12.160634854808448</v>
      </c>
      <c r="D739" s="5">
        <f t="shared" si="20"/>
        <v>6</v>
      </c>
      <c r="Q739" s="4">
        <v>48366</v>
      </c>
      <c r="R739" s="7">
        <v>12.320862852806187</v>
      </c>
      <c r="S739" s="7">
        <v>19.98080462448026</v>
      </c>
      <c r="T739" s="8">
        <v>0.43630540710654958</v>
      </c>
      <c r="U739" s="7">
        <v>21.5094079818791</v>
      </c>
    </row>
    <row r="740" spans="1:21" x14ac:dyDescent="0.3">
      <c r="A740" s="4">
        <v>48396</v>
      </c>
      <c r="B740" s="13">
        <f t="shared" si="19"/>
        <v>189.7349432</v>
      </c>
      <c r="C740" s="12">
        <v>1.5390613029012463</v>
      </c>
      <c r="D740" s="5">
        <f t="shared" si="20"/>
        <v>7</v>
      </c>
      <c r="Q740" s="4">
        <v>48396</v>
      </c>
      <c r="R740" s="7">
        <v>5.5693809182133593</v>
      </c>
      <c r="S740" s="7">
        <v>9.5265932419627113</v>
      </c>
      <c r="T740" s="8">
        <v>0.29291135724065731</v>
      </c>
      <c r="U740" s="7">
        <v>11.124908446955066</v>
      </c>
    </row>
    <row r="741" spans="1:21" x14ac:dyDescent="0.3">
      <c r="A741" s="4">
        <v>48427</v>
      </c>
      <c r="B741" s="13">
        <f t="shared" si="19"/>
        <v>154.8311099</v>
      </c>
      <c r="C741" s="12">
        <v>1.2892026596091462</v>
      </c>
      <c r="D741" s="5">
        <f t="shared" si="20"/>
        <v>8</v>
      </c>
      <c r="Q741" s="4">
        <v>48427</v>
      </c>
      <c r="R741" s="7">
        <v>7.0117427416782299</v>
      </c>
      <c r="S741" s="7">
        <v>29.880614567723285</v>
      </c>
      <c r="T741" s="8">
        <v>0.3402468469736516</v>
      </c>
      <c r="U741" s="7">
        <v>19.248478112798033</v>
      </c>
    </row>
    <row r="742" spans="1:21" x14ac:dyDescent="0.3">
      <c r="A742" s="4">
        <v>48458</v>
      </c>
      <c r="B742" s="13">
        <f t="shared" si="19"/>
        <v>184.26165130000001</v>
      </c>
      <c r="C742" s="12">
        <v>39.374654414132131</v>
      </c>
      <c r="D742" s="5">
        <f t="shared" si="20"/>
        <v>9</v>
      </c>
      <c r="Q742" s="4">
        <v>48458</v>
      </c>
      <c r="R742" s="7">
        <v>131.93799999247494</v>
      </c>
      <c r="S742" s="7">
        <v>113.35112431744858</v>
      </c>
      <c r="T742" s="8">
        <v>0.87508306094156563</v>
      </c>
      <c r="U742" s="7">
        <v>111.03379529309241</v>
      </c>
    </row>
    <row r="743" spans="1:21" x14ac:dyDescent="0.3">
      <c r="A743" s="4">
        <v>48488</v>
      </c>
      <c r="B743" s="13">
        <f t="shared" si="19"/>
        <v>175.17198429999999</v>
      </c>
      <c r="C743" s="12">
        <v>31.73656311118987</v>
      </c>
      <c r="D743" s="5">
        <f t="shared" si="20"/>
        <v>10</v>
      </c>
      <c r="Q743" s="4">
        <v>48488</v>
      </c>
      <c r="R743" s="7">
        <v>77.894784319644486</v>
      </c>
      <c r="S743" s="7">
        <v>119.35852991513373</v>
      </c>
      <c r="T743" s="8">
        <v>0.32731113137274137</v>
      </c>
      <c r="U743" s="7">
        <v>119.63522316127708</v>
      </c>
    </row>
    <row r="744" spans="1:21" x14ac:dyDescent="0.3">
      <c r="A744" s="4">
        <v>48519</v>
      </c>
      <c r="B744" s="13">
        <f t="shared" si="19"/>
        <v>162.4463945</v>
      </c>
      <c r="C744" s="12">
        <v>215.86962346918878</v>
      </c>
      <c r="D744" s="5">
        <f t="shared" si="20"/>
        <v>11</v>
      </c>
      <c r="Q744" s="4">
        <v>48519</v>
      </c>
      <c r="R744" s="7">
        <v>467.85965088374508</v>
      </c>
      <c r="S744" s="7">
        <v>353.10291981270433</v>
      </c>
      <c r="T744" s="8">
        <v>0.96149040782677586</v>
      </c>
      <c r="U744" s="7">
        <v>364.85652394314133</v>
      </c>
    </row>
    <row r="745" spans="1:21" x14ac:dyDescent="0.3">
      <c r="A745" s="4">
        <v>48549</v>
      </c>
      <c r="B745" s="13">
        <f t="shared" si="19"/>
        <v>117.9125966</v>
      </c>
      <c r="C745" s="12">
        <v>24.778660185984325</v>
      </c>
      <c r="D745" s="5">
        <f t="shared" si="20"/>
        <v>12</v>
      </c>
      <c r="Q745" s="4">
        <v>48549</v>
      </c>
      <c r="R745" s="7">
        <v>52.27640336560728</v>
      </c>
      <c r="S745" s="7">
        <v>67.370085706161589</v>
      </c>
      <c r="T745" s="8">
        <v>1.0909688670950754E-2</v>
      </c>
      <c r="U745" s="7">
        <v>67.600667106759246</v>
      </c>
    </row>
    <row r="746" spans="1:21" x14ac:dyDescent="0.3">
      <c r="A746" s="4">
        <v>48580</v>
      </c>
      <c r="B746" s="13">
        <f t="shared" si="19"/>
        <v>142.51482279999999</v>
      </c>
      <c r="C746" s="12">
        <v>166.28829978872091</v>
      </c>
      <c r="D746" s="5">
        <f t="shared" si="20"/>
        <v>1</v>
      </c>
      <c r="Q746" s="4">
        <v>48580</v>
      </c>
      <c r="R746" s="7">
        <v>228.65098715053392</v>
      </c>
      <c r="S746" s="7">
        <v>244.61183276082693</v>
      </c>
      <c r="T746" s="8">
        <v>0.82522657810493194</v>
      </c>
      <c r="U746" s="7">
        <v>246.01871559051168</v>
      </c>
    </row>
    <row r="747" spans="1:21" x14ac:dyDescent="0.3">
      <c r="A747" s="4">
        <v>48611</v>
      </c>
      <c r="B747" s="13">
        <f t="shared" si="19"/>
        <v>98.909064700000002</v>
      </c>
      <c r="C747" s="12">
        <v>164.17341800406578</v>
      </c>
      <c r="D747" s="5">
        <f t="shared" si="20"/>
        <v>2</v>
      </c>
      <c r="Q747" s="4">
        <v>48611</v>
      </c>
      <c r="R747" s="7">
        <v>320.83099926936063</v>
      </c>
      <c r="S747" s="7">
        <v>294.23233885341529</v>
      </c>
      <c r="T747" s="8">
        <v>0.87572640396566603</v>
      </c>
      <c r="U747" s="7">
        <v>294.16826703710274</v>
      </c>
    </row>
    <row r="748" spans="1:21" x14ac:dyDescent="0.3">
      <c r="A748" s="4">
        <v>48639</v>
      </c>
      <c r="B748" s="13">
        <f t="shared" si="19"/>
        <v>17.163163999999998</v>
      </c>
      <c r="C748" s="12">
        <v>88.983462983742399</v>
      </c>
      <c r="D748" s="5">
        <f t="shared" si="20"/>
        <v>3</v>
      </c>
      <c r="Q748" s="4">
        <v>48639</v>
      </c>
      <c r="R748" s="7">
        <v>189.6176934732118</v>
      </c>
      <c r="S748" s="7">
        <v>188.01616488670564</v>
      </c>
      <c r="T748" s="8">
        <v>0.73591336701287779</v>
      </c>
      <c r="U748" s="7">
        <v>187.60325726021381</v>
      </c>
    </row>
    <row r="749" spans="1:21" x14ac:dyDescent="0.3">
      <c r="A749" s="4">
        <v>48670</v>
      </c>
      <c r="B749" s="13">
        <f t="shared" si="19"/>
        <v>31.972822699999998</v>
      </c>
      <c r="C749" s="12">
        <v>46.313328493852218</v>
      </c>
      <c r="D749" s="5">
        <f t="shared" si="20"/>
        <v>4</v>
      </c>
      <c r="Q749" s="4">
        <v>48670</v>
      </c>
      <c r="R749" s="7">
        <v>87.217804725304816</v>
      </c>
      <c r="S749" s="7">
        <v>80.645133695241924</v>
      </c>
      <c r="T749" s="8">
        <v>0.20692070789363351</v>
      </c>
      <c r="U749" s="7">
        <v>80.884945946108516</v>
      </c>
    </row>
    <row r="750" spans="1:21" x14ac:dyDescent="0.3">
      <c r="A750" s="4">
        <v>48700</v>
      </c>
      <c r="B750" s="13">
        <f t="shared" si="19"/>
        <v>43.833548399999998</v>
      </c>
      <c r="C750" s="12">
        <v>43.644493957981418</v>
      </c>
      <c r="D750" s="5">
        <f t="shared" si="20"/>
        <v>5</v>
      </c>
      <c r="Q750" s="4">
        <v>48700</v>
      </c>
      <c r="R750" s="7">
        <v>74.160633106805918</v>
      </c>
      <c r="S750" s="7">
        <v>80.591989607351564</v>
      </c>
      <c r="T750" s="8">
        <v>0.39209419561958397</v>
      </c>
      <c r="U750" s="7">
        <v>79.562447444963823</v>
      </c>
    </row>
    <row r="751" spans="1:21" x14ac:dyDescent="0.3">
      <c r="A751" s="4">
        <v>48731</v>
      </c>
      <c r="B751" s="13">
        <f t="shared" si="19"/>
        <v>33.213593299999999</v>
      </c>
      <c r="C751" s="12">
        <v>13.976373535115284</v>
      </c>
      <c r="D751" s="5">
        <f t="shared" si="20"/>
        <v>6</v>
      </c>
      <c r="Q751" s="4">
        <v>48731</v>
      </c>
      <c r="R751" s="7">
        <v>14.160525627299405</v>
      </c>
      <c r="S751" s="7">
        <v>21.789454518524444</v>
      </c>
      <c r="T751" s="8">
        <v>0.46858090998116309</v>
      </c>
      <c r="U751" s="7">
        <v>23.07879961653731</v>
      </c>
    </row>
    <row r="752" spans="1:21" x14ac:dyDescent="0.3">
      <c r="A752" s="4">
        <v>48761</v>
      </c>
      <c r="B752" s="13">
        <f t="shared" si="19"/>
        <v>63.5874576</v>
      </c>
      <c r="C752" s="12">
        <v>6.7447245150106028</v>
      </c>
      <c r="D752" s="5">
        <f t="shared" si="20"/>
        <v>7</v>
      </c>
      <c r="Q752" s="4">
        <v>48761</v>
      </c>
      <c r="R752" s="7">
        <v>24.407045997254986</v>
      </c>
      <c r="S752" s="7">
        <v>27.784150642319524</v>
      </c>
      <c r="T752" s="8">
        <v>0.64481808635428783</v>
      </c>
      <c r="U752" s="7">
        <v>27.780191589290169</v>
      </c>
    </row>
    <row r="753" spans="1:21" x14ac:dyDescent="0.3">
      <c r="A753" s="4">
        <v>48792</v>
      </c>
      <c r="B753" s="13">
        <f t="shared" si="19"/>
        <v>186.61195670000001</v>
      </c>
      <c r="C753" s="12">
        <v>50.098358758259621</v>
      </c>
      <c r="D753" s="5">
        <f t="shared" si="20"/>
        <v>8</v>
      </c>
      <c r="Q753" s="4">
        <v>48792</v>
      </c>
      <c r="R753" s="7">
        <v>272.47601513614404</v>
      </c>
      <c r="S753" s="7">
        <v>84.650136231512249</v>
      </c>
      <c r="T753" s="8">
        <v>0.99679664628725895</v>
      </c>
      <c r="U753" s="7">
        <v>133.92593265051872</v>
      </c>
    </row>
    <row r="754" spans="1:21" x14ac:dyDescent="0.3">
      <c r="A754" s="4">
        <v>48823</v>
      </c>
      <c r="B754" s="13">
        <f t="shared" si="19"/>
        <v>159.8899773</v>
      </c>
      <c r="C754" s="12">
        <v>33.82250061258685</v>
      </c>
      <c r="D754" s="5">
        <f t="shared" si="20"/>
        <v>9</v>
      </c>
      <c r="Q754" s="4">
        <v>48823</v>
      </c>
      <c r="R754" s="7">
        <v>113.33364449713929</v>
      </c>
      <c r="S754" s="7">
        <v>103.17131428743042</v>
      </c>
      <c r="T754" s="8">
        <v>0.83951772646397238</v>
      </c>
      <c r="U754" s="7">
        <v>100.22260838730341</v>
      </c>
    </row>
    <row r="755" spans="1:21" x14ac:dyDescent="0.3">
      <c r="A755" s="4">
        <v>48853</v>
      </c>
      <c r="B755" s="13">
        <f t="shared" si="19"/>
        <v>88.909089499999993</v>
      </c>
      <c r="C755" s="12">
        <v>116.85105913784359</v>
      </c>
      <c r="D755" s="5">
        <f t="shared" si="20"/>
        <v>10</v>
      </c>
      <c r="Q755" s="4">
        <v>48853</v>
      </c>
      <c r="R755" s="7">
        <v>286.80131547877284</v>
      </c>
      <c r="S755" s="7">
        <v>252.82772057464192</v>
      </c>
      <c r="T755" s="8">
        <v>0.82057036901874347</v>
      </c>
      <c r="U755" s="7">
        <v>248.13825632155411</v>
      </c>
    </row>
    <row r="756" spans="1:21" x14ac:dyDescent="0.3">
      <c r="A756" s="4">
        <v>48884</v>
      </c>
      <c r="B756" s="13">
        <f t="shared" si="19"/>
        <v>60.569590300000002</v>
      </c>
      <c r="C756" s="12">
        <v>91.661966987885663</v>
      </c>
      <c r="D756" s="5">
        <f t="shared" si="20"/>
        <v>11</v>
      </c>
      <c r="Q756" s="4">
        <v>48884</v>
      </c>
      <c r="R756" s="7">
        <v>198.66128075398507</v>
      </c>
      <c r="S756" s="7">
        <v>211.17053311403137</v>
      </c>
      <c r="T756" s="8">
        <v>0.55362561174653935</v>
      </c>
      <c r="U756" s="7">
        <v>207.31123992983652</v>
      </c>
    </row>
    <row r="757" spans="1:21" x14ac:dyDescent="0.3">
      <c r="A757" s="4">
        <v>48914</v>
      </c>
      <c r="B757" s="13">
        <f t="shared" si="19"/>
        <v>166.50195579999999</v>
      </c>
      <c r="C757" s="12">
        <v>113.41631237883132</v>
      </c>
      <c r="D757" s="5">
        <f t="shared" si="20"/>
        <v>12</v>
      </c>
      <c r="Q757" s="4">
        <v>48914</v>
      </c>
      <c r="R757" s="7">
        <v>239.2783487748523</v>
      </c>
      <c r="S757" s="7">
        <v>242.11455923342626</v>
      </c>
      <c r="T757" s="8">
        <v>0.58948237300201467</v>
      </c>
      <c r="U757" s="7">
        <v>240.47365086114769</v>
      </c>
    </row>
    <row r="758" spans="1:21" x14ac:dyDescent="0.3">
      <c r="A758" s="4">
        <v>48945</v>
      </c>
      <c r="B758" s="13">
        <f t="shared" si="19"/>
        <v>252.6624587</v>
      </c>
      <c r="C758" s="12">
        <v>13.88557033496909</v>
      </c>
      <c r="D758" s="5">
        <f t="shared" si="20"/>
        <v>1</v>
      </c>
      <c r="Q758" s="4">
        <v>48945</v>
      </c>
      <c r="R758" s="7">
        <v>19.093041231841404</v>
      </c>
      <c r="S758" s="7">
        <v>9.2558580550216831</v>
      </c>
      <c r="T758" s="8">
        <v>5.3005021462986239E-4</v>
      </c>
      <c r="U758" s="7">
        <v>6.837125227363118</v>
      </c>
    </row>
    <row r="759" spans="1:21" x14ac:dyDescent="0.3">
      <c r="A759" s="4">
        <v>48976</v>
      </c>
      <c r="B759" s="13">
        <f t="shared" si="19"/>
        <v>44.755962799999999</v>
      </c>
      <c r="C759" s="12">
        <v>60.025132074952232</v>
      </c>
      <c r="D759" s="5">
        <f t="shared" si="20"/>
        <v>2</v>
      </c>
      <c r="Q759" s="4">
        <v>48976</v>
      </c>
      <c r="R759" s="7">
        <v>117.3023217705399</v>
      </c>
      <c r="S759" s="7">
        <v>134.97587546011604</v>
      </c>
      <c r="T759" s="8">
        <v>0.26099014996972225</v>
      </c>
      <c r="U759" s="7">
        <v>134.7486311556583</v>
      </c>
    </row>
    <row r="760" spans="1:21" x14ac:dyDescent="0.3">
      <c r="A760" s="4">
        <v>49004</v>
      </c>
      <c r="B760" s="13">
        <f t="shared" si="19"/>
        <v>31.141248600000001</v>
      </c>
      <c r="C760" s="12">
        <v>36.023894403479055</v>
      </c>
      <c r="D760" s="5">
        <f t="shared" si="20"/>
        <v>3</v>
      </c>
      <c r="Q760" s="4">
        <v>49004</v>
      </c>
      <c r="R760" s="7">
        <v>76.764463167254434</v>
      </c>
      <c r="S760" s="7">
        <v>81.572522857433455</v>
      </c>
      <c r="T760" s="8">
        <v>0.16353069805478121</v>
      </c>
      <c r="U760" s="7">
        <v>81.745820858652536</v>
      </c>
    </row>
    <row r="761" spans="1:21" x14ac:dyDescent="0.3">
      <c r="A761" s="4">
        <v>49035</v>
      </c>
      <c r="B761" s="13">
        <f t="shared" si="19"/>
        <v>98.952740800000001</v>
      </c>
      <c r="C761" s="12">
        <v>41.195904719643188</v>
      </c>
      <c r="D761" s="5">
        <f t="shared" si="20"/>
        <v>4</v>
      </c>
      <c r="Q761" s="4">
        <v>49035</v>
      </c>
      <c r="R761" s="7">
        <v>77.58061210817641</v>
      </c>
      <c r="S761" s="7">
        <v>70.640567875208831</v>
      </c>
      <c r="T761" s="8">
        <v>0.15105941136332332</v>
      </c>
      <c r="U761" s="7">
        <v>70.691391812556745</v>
      </c>
    </row>
    <row r="762" spans="1:21" x14ac:dyDescent="0.3">
      <c r="A762" s="4">
        <v>49065</v>
      </c>
      <c r="B762" s="13">
        <f t="shared" si="19"/>
        <v>65.492701299999993</v>
      </c>
      <c r="C762" s="12">
        <v>41.911281767534156</v>
      </c>
      <c r="D762" s="5">
        <f t="shared" si="20"/>
        <v>5</v>
      </c>
      <c r="Q762" s="4">
        <v>49065</v>
      </c>
      <c r="R762" s="7">
        <v>71.21556256765038</v>
      </c>
      <c r="S762" s="7">
        <v>77.873734970548341</v>
      </c>
      <c r="T762" s="8">
        <v>0.37177879906842293</v>
      </c>
      <c r="U762" s="7">
        <v>76.886935605680961</v>
      </c>
    </row>
    <row r="763" spans="1:21" x14ac:dyDescent="0.3">
      <c r="A763" s="4">
        <v>49096</v>
      </c>
      <c r="B763" s="13">
        <f t="shared" si="19"/>
        <v>154.17500000000001</v>
      </c>
      <c r="C763" s="12">
        <v>34.292488067876505</v>
      </c>
      <c r="D763" s="5">
        <f t="shared" si="20"/>
        <v>6</v>
      </c>
      <c r="Q763" s="4">
        <v>49096</v>
      </c>
      <c r="R763" s="7">
        <v>34.744324404965816</v>
      </c>
      <c r="S763" s="7">
        <v>38.103761846966556</v>
      </c>
      <c r="T763" s="8">
        <v>0.70362291263515631</v>
      </c>
      <c r="U763" s="7">
        <v>37.456366718662579</v>
      </c>
    </row>
    <row r="764" spans="1:21" x14ac:dyDescent="0.3">
      <c r="A764" s="4">
        <v>49126</v>
      </c>
      <c r="B764" s="13">
        <f t="shared" si="19"/>
        <v>159.02292009999999</v>
      </c>
      <c r="C764" s="12">
        <v>0.173162544706429</v>
      </c>
      <c r="D764" s="5">
        <f t="shared" si="20"/>
        <v>7</v>
      </c>
      <c r="Q764" s="4">
        <v>49126</v>
      </c>
      <c r="R764" s="7">
        <v>0.62662102569876299</v>
      </c>
      <c r="S764" s="7">
        <v>1.957116119357565</v>
      </c>
      <c r="T764" s="8">
        <v>7.4407225030301977E-2</v>
      </c>
      <c r="U764" s="7">
        <v>3.3506943030546559</v>
      </c>
    </row>
    <row r="765" spans="1:21" x14ac:dyDescent="0.3">
      <c r="A765" s="4">
        <v>49157</v>
      </c>
      <c r="B765" s="13">
        <f t="shared" si="19"/>
        <v>259.27815950000002</v>
      </c>
      <c r="C765" s="12">
        <v>18.582183371472635</v>
      </c>
      <c r="D765" s="5">
        <f t="shared" si="20"/>
        <v>8</v>
      </c>
      <c r="Q765" s="4">
        <v>49157</v>
      </c>
      <c r="R765" s="7">
        <v>101.06517265404871</v>
      </c>
      <c r="S765" s="7">
        <v>63.837989011698895</v>
      </c>
      <c r="T765" s="8">
        <v>0.92405417131175205</v>
      </c>
      <c r="U765" s="7">
        <v>70.406248040660373</v>
      </c>
    </row>
    <row r="766" spans="1:21" x14ac:dyDescent="0.3">
      <c r="A766" s="4">
        <v>49188</v>
      </c>
      <c r="B766" s="13">
        <f t="shared" si="19"/>
        <v>248.2512285</v>
      </c>
      <c r="C766" s="12">
        <v>26.872897578869033</v>
      </c>
      <c r="D766" s="5">
        <f t="shared" si="20"/>
        <v>9</v>
      </c>
      <c r="Q766" s="4">
        <v>49188</v>
      </c>
      <c r="R766" s="7">
        <v>90.04666614384432</v>
      </c>
      <c r="S766" s="7">
        <v>89.478185492365668</v>
      </c>
      <c r="T766" s="8">
        <v>0.77907863592469506</v>
      </c>
      <c r="U766" s="7">
        <v>86.14531038009882</v>
      </c>
    </row>
    <row r="767" spans="1:21" x14ac:dyDescent="0.3">
      <c r="A767" s="4">
        <v>49218</v>
      </c>
      <c r="B767" s="13">
        <f t="shared" si="19"/>
        <v>83.710898</v>
      </c>
      <c r="C767" s="12">
        <v>1.0370912456939003E-6</v>
      </c>
      <c r="D767" s="5">
        <f t="shared" si="20"/>
        <v>10</v>
      </c>
      <c r="Q767" s="4">
        <v>49218</v>
      </c>
      <c r="R767" s="7">
        <v>2.5454551779941943E-6</v>
      </c>
      <c r="S767" s="7">
        <v>5.8372973082196321E-3</v>
      </c>
      <c r="T767" s="8">
        <v>3.3420060005387058E-10</v>
      </c>
      <c r="U767" s="7">
        <v>0.1963919435125934</v>
      </c>
    </row>
    <row r="768" spans="1:21" x14ac:dyDescent="0.3">
      <c r="A768" s="4">
        <v>49249</v>
      </c>
      <c r="B768" s="13">
        <f t="shared" ref="B768:B831" si="21">B387</f>
        <v>65.304975499999998</v>
      </c>
      <c r="C768" s="12">
        <v>70.054128358606178</v>
      </c>
      <c r="D768" s="5">
        <f t="shared" si="20"/>
        <v>11</v>
      </c>
      <c r="Q768" s="4">
        <v>49249</v>
      </c>
      <c r="R768" s="7">
        <v>151.8300699750867</v>
      </c>
      <c r="S768" s="7">
        <v>179.70458498282014</v>
      </c>
      <c r="T768" s="8">
        <v>0.38715022317825704</v>
      </c>
      <c r="U768" s="7">
        <v>175.69260954669434</v>
      </c>
    </row>
    <row r="769" spans="1:21" x14ac:dyDescent="0.3">
      <c r="A769" s="4">
        <v>49279</v>
      </c>
      <c r="B769" s="13">
        <f t="shared" si="21"/>
        <v>24.193040199999999</v>
      </c>
      <c r="C769" s="12">
        <v>94.756215065717626</v>
      </c>
      <c r="D769" s="5">
        <f t="shared" si="20"/>
        <v>12</v>
      </c>
      <c r="Q769" s="4">
        <v>49279</v>
      </c>
      <c r="R769" s="7">
        <v>199.91049084145271</v>
      </c>
      <c r="S769" s="7">
        <v>208.14544850995924</v>
      </c>
      <c r="T769" s="8">
        <v>0.44610538675091777</v>
      </c>
      <c r="U769" s="7">
        <v>206.07925481032515</v>
      </c>
    </row>
    <row r="770" spans="1:21" x14ac:dyDescent="0.3">
      <c r="A770" s="4">
        <v>49310</v>
      </c>
      <c r="B770" s="13">
        <f t="shared" si="21"/>
        <v>14.619989199999999</v>
      </c>
      <c r="C770" s="12">
        <v>126.74304210813709</v>
      </c>
      <c r="D770" s="5">
        <f t="shared" si="20"/>
        <v>1</v>
      </c>
      <c r="Q770" s="4">
        <v>49310</v>
      </c>
      <c r="R770" s="7">
        <v>174.27516986647848</v>
      </c>
      <c r="S770" s="7">
        <v>170.97839858921117</v>
      </c>
      <c r="T770" s="8">
        <v>0.62050172814327498</v>
      </c>
      <c r="U770" s="7">
        <v>173.09342299709846</v>
      </c>
    </row>
    <row r="771" spans="1:21" x14ac:dyDescent="0.3">
      <c r="A771" s="4">
        <v>49341</v>
      </c>
      <c r="B771" s="13">
        <f t="shared" si="21"/>
        <v>39.7721181</v>
      </c>
      <c r="C771" s="12">
        <v>39.197653136216147</v>
      </c>
      <c r="D771" s="5">
        <f t="shared" ref="D771:D834" si="22">MONTH(A771)</f>
        <v>2</v>
      </c>
      <c r="Q771" s="4">
        <v>49341</v>
      </c>
      <c r="R771" s="7">
        <v>76.600843045093768</v>
      </c>
      <c r="S771" s="7">
        <v>97.03235190349757</v>
      </c>
      <c r="T771" s="8">
        <v>0.1066525360362896</v>
      </c>
      <c r="U771" s="7">
        <v>98.417760087826593</v>
      </c>
    </row>
    <row r="772" spans="1:21" x14ac:dyDescent="0.3">
      <c r="A772" s="4">
        <v>49369</v>
      </c>
      <c r="B772" s="13">
        <f t="shared" si="21"/>
        <v>64.986418599999993</v>
      </c>
      <c r="C772" s="12">
        <v>77.567080938024517</v>
      </c>
      <c r="D772" s="5">
        <f t="shared" si="22"/>
        <v>3</v>
      </c>
      <c r="Q772" s="4">
        <v>49369</v>
      </c>
      <c r="R772" s="7">
        <v>165.29016160682986</v>
      </c>
      <c r="S772" s="7">
        <v>165.62613677050564</v>
      </c>
      <c r="T772" s="8">
        <v>0.63854329576490132</v>
      </c>
      <c r="U772" s="7">
        <v>165.17253789641418</v>
      </c>
    </row>
    <row r="773" spans="1:21" x14ac:dyDescent="0.3">
      <c r="A773" s="4">
        <v>49400</v>
      </c>
      <c r="B773" s="13">
        <f t="shared" si="21"/>
        <v>105.70541179999999</v>
      </c>
      <c r="C773" s="12">
        <v>52.75779037037853</v>
      </c>
      <c r="D773" s="5">
        <f t="shared" si="22"/>
        <v>4</v>
      </c>
      <c r="Q773" s="4">
        <v>49400</v>
      </c>
      <c r="R773" s="7">
        <v>99.35409109870065</v>
      </c>
      <c r="S773" s="7">
        <v>93.450672977614687</v>
      </c>
      <c r="T773" s="8">
        <v>0.28467637895471398</v>
      </c>
      <c r="U773" s="7">
        <v>93.894434103135922</v>
      </c>
    </row>
    <row r="774" spans="1:21" x14ac:dyDescent="0.3">
      <c r="A774" s="4">
        <v>49430</v>
      </c>
      <c r="B774" s="13">
        <f t="shared" si="21"/>
        <v>251.67476869999999</v>
      </c>
      <c r="C774" s="12">
        <v>37.548700289335194</v>
      </c>
      <c r="D774" s="5">
        <f t="shared" si="22"/>
        <v>5</v>
      </c>
      <c r="Q774" s="4">
        <v>49430</v>
      </c>
      <c r="R774" s="7">
        <v>63.802673218658519</v>
      </c>
      <c r="S774" s="7">
        <v>70.953258471657222</v>
      </c>
      <c r="T774" s="8">
        <v>0.31975975310303817</v>
      </c>
      <c r="U774" s="7">
        <v>70.095419334423909</v>
      </c>
    </row>
    <row r="775" spans="1:21" x14ac:dyDescent="0.3">
      <c r="A775" s="4">
        <v>49461</v>
      </c>
      <c r="B775" s="13">
        <f t="shared" si="21"/>
        <v>144.34891440000001</v>
      </c>
      <c r="C775" s="12">
        <v>26.217443228233478</v>
      </c>
      <c r="D775" s="5">
        <f t="shared" si="22"/>
        <v>6</v>
      </c>
      <c r="Q775" s="4">
        <v>49461</v>
      </c>
      <c r="R775" s="7">
        <v>26.562883124360134</v>
      </c>
      <c r="S775" s="7">
        <v>32.237292706829876</v>
      </c>
      <c r="T775" s="8">
        <v>0.63047310805825207</v>
      </c>
      <c r="U775" s="7">
        <v>32.213783533017669</v>
      </c>
    </row>
    <row r="776" spans="1:21" x14ac:dyDescent="0.3">
      <c r="A776" s="4">
        <v>49491</v>
      </c>
      <c r="B776" s="13">
        <f t="shared" si="21"/>
        <v>226.66548710000001</v>
      </c>
      <c r="C776" s="12">
        <v>7.3104592024719653E-2</v>
      </c>
      <c r="D776" s="5">
        <f t="shared" si="22"/>
        <v>7</v>
      </c>
      <c r="Q776" s="4">
        <v>49491</v>
      </c>
      <c r="R776" s="7">
        <v>0.26454262678734297</v>
      </c>
      <c r="S776" s="7">
        <v>1.0478968796248342</v>
      </c>
      <c r="T776" s="8">
        <v>4.2663586926867482E-2</v>
      </c>
      <c r="U776" s="7">
        <v>2.1424146488685074</v>
      </c>
    </row>
    <row r="777" spans="1:21" x14ac:dyDescent="0.3">
      <c r="A777" s="4">
        <v>49522</v>
      </c>
      <c r="B777" s="13">
        <f t="shared" si="21"/>
        <v>163.05918790000001</v>
      </c>
      <c r="C777" s="12">
        <v>20.618224516510949</v>
      </c>
      <c r="D777" s="5">
        <f t="shared" si="22"/>
        <v>8</v>
      </c>
      <c r="Q777" s="4">
        <v>49522</v>
      </c>
      <c r="R777" s="7">
        <v>112.13883637485488</v>
      </c>
      <c r="S777" s="7">
        <v>65.754633578629907</v>
      </c>
      <c r="T777" s="8">
        <v>0.93881624774350325</v>
      </c>
      <c r="U777" s="7">
        <v>74.946548411471113</v>
      </c>
    </row>
    <row r="778" spans="1:21" x14ac:dyDescent="0.3">
      <c r="A778" s="4">
        <v>49553</v>
      </c>
      <c r="B778" s="13">
        <f t="shared" si="21"/>
        <v>158.24643040000001</v>
      </c>
      <c r="C778" s="12">
        <v>27.592930826358479</v>
      </c>
      <c r="D778" s="5">
        <f t="shared" si="22"/>
        <v>9</v>
      </c>
      <c r="Q778" s="4">
        <v>49553</v>
      </c>
      <c r="R778" s="7">
        <v>92.459379296896088</v>
      </c>
      <c r="S778" s="7">
        <v>90.954963276091632</v>
      </c>
      <c r="T778" s="8">
        <v>0.7863555107567044</v>
      </c>
      <c r="U778" s="7">
        <v>87.638098983782854</v>
      </c>
    </row>
    <row r="779" spans="1:21" x14ac:dyDescent="0.3">
      <c r="A779" s="4">
        <v>49583</v>
      </c>
      <c r="B779" s="13">
        <f t="shared" si="21"/>
        <v>277.81346819999999</v>
      </c>
      <c r="C779" s="12">
        <v>45.197593874763776</v>
      </c>
      <c r="D779" s="5">
        <f t="shared" si="22"/>
        <v>10</v>
      </c>
      <c r="Q779" s="4">
        <v>49583</v>
      </c>
      <c r="R779" s="7">
        <v>110.93377736924117</v>
      </c>
      <c r="S779" s="7">
        <v>146.31130051849752</v>
      </c>
      <c r="T779" s="8">
        <v>0.44791366036079</v>
      </c>
      <c r="U779" s="7">
        <v>144.00875958196778</v>
      </c>
    </row>
    <row r="780" spans="1:21" x14ac:dyDescent="0.3">
      <c r="A780" s="4">
        <v>49614</v>
      </c>
      <c r="B780" s="13">
        <f t="shared" si="21"/>
        <v>80.799814400000002</v>
      </c>
      <c r="C780" s="12">
        <v>64.875553362071514</v>
      </c>
      <c r="D780" s="5">
        <f t="shared" si="22"/>
        <v>11</v>
      </c>
      <c r="Q780" s="4">
        <v>49614</v>
      </c>
      <c r="R780" s="7">
        <v>140.60641446016515</v>
      </c>
      <c r="S780" s="7">
        <v>171.60960581149675</v>
      </c>
      <c r="T780" s="8">
        <v>0.34431839345868565</v>
      </c>
      <c r="U780" s="7">
        <v>167.74232225806682</v>
      </c>
    </row>
    <row r="781" spans="1:21" x14ac:dyDescent="0.3">
      <c r="A781" s="4">
        <v>49644</v>
      </c>
      <c r="B781" s="13">
        <f t="shared" si="21"/>
        <v>21.379026100000001</v>
      </c>
      <c r="C781" s="12">
        <v>75.486725469818396</v>
      </c>
      <c r="D781" s="5">
        <f t="shared" si="22"/>
        <v>12</v>
      </c>
      <c r="Q781" s="4">
        <v>49644</v>
      </c>
      <c r="R781" s="7">
        <v>159.25697676104301</v>
      </c>
      <c r="S781" s="7">
        <v>171.92155342434737</v>
      </c>
      <c r="T781" s="8">
        <v>0.28641848429276967</v>
      </c>
      <c r="U781" s="7">
        <v>169.83629967353875</v>
      </c>
    </row>
    <row r="782" spans="1:21" x14ac:dyDescent="0.3">
      <c r="A782" s="4">
        <v>49675</v>
      </c>
      <c r="B782" s="13">
        <f t="shared" si="21"/>
        <v>70.4706458</v>
      </c>
      <c r="C782" s="12">
        <v>16.654663172084835</v>
      </c>
      <c r="D782" s="5">
        <f t="shared" si="22"/>
        <v>1</v>
      </c>
      <c r="Q782" s="4">
        <v>49675</v>
      </c>
      <c r="R782" s="7">
        <v>22.900620066446422</v>
      </c>
      <c r="S782" s="7">
        <v>11.764276839871656</v>
      </c>
      <c r="T782" s="8">
        <v>1.1415544588875691E-3</v>
      </c>
      <c r="U782" s="7">
        <v>9.1144499051333376</v>
      </c>
    </row>
    <row r="783" spans="1:21" x14ac:dyDescent="0.3">
      <c r="A783" s="4">
        <v>49706</v>
      </c>
      <c r="B783" s="13">
        <f t="shared" si="21"/>
        <v>36.455129900000003</v>
      </c>
      <c r="C783" s="12">
        <v>7.9895805647538412</v>
      </c>
      <c r="D783" s="5">
        <f t="shared" si="22"/>
        <v>2</v>
      </c>
      <c r="Q783" s="4">
        <v>49706</v>
      </c>
      <c r="R783" s="7">
        <v>15.613399218316554</v>
      </c>
      <c r="S783" s="7">
        <v>28.309979417080605</v>
      </c>
      <c r="T783" s="8">
        <v>1.3799295507077789E-3</v>
      </c>
      <c r="U783" s="7">
        <v>32.599685445823262</v>
      </c>
    </row>
    <row r="784" spans="1:21" x14ac:dyDescent="0.3">
      <c r="A784" s="4">
        <v>49735</v>
      </c>
      <c r="B784" s="13">
        <f t="shared" si="21"/>
        <v>47.932856700000002</v>
      </c>
      <c r="C784" s="12">
        <v>17.707501967379347</v>
      </c>
      <c r="D784" s="5">
        <f t="shared" si="22"/>
        <v>3</v>
      </c>
      <c r="Q784" s="4">
        <v>49735</v>
      </c>
      <c r="R784" s="7">
        <v>37.733479543724748</v>
      </c>
      <c r="S784" s="7">
        <v>42.337462457762307</v>
      </c>
      <c r="T784" s="8">
        <v>2.4242626501230036E-2</v>
      </c>
      <c r="U784" s="7">
        <v>43.093729099306046</v>
      </c>
    </row>
    <row r="785" spans="1:21" x14ac:dyDescent="0.3">
      <c r="A785" s="4">
        <v>49766</v>
      </c>
      <c r="B785" s="13">
        <f t="shared" si="21"/>
        <v>275.9363204</v>
      </c>
      <c r="C785" s="12">
        <v>83.656333736144049</v>
      </c>
      <c r="D785" s="5">
        <f t="shared" si="22"/>
        <v>4</v>
      </c>
      <c r="Q785" s="4">
        <v>49766</v>
      </c>
      <c r="R785" s="7">
        <v>157.54259123920403</v>
      </c>
      <c r="S785" s="7">
        <v>157.42131211579917</v>
      </c>
      <c r="T785" s="8">
        <v>0.65424324933151001</v>
      </c>
      <c r="U785" s="7">
        <v>158.16373690045364</v>
      </c>
    </row>
    <row r="786" spans="1:21" x14ac:dyDescent="0.3">
      <c r="A786" s="4">
        <v>49796</v>
      </c>
      <c r="B786" s="13">
        <f t="shared" si="21"/>
        <v>94.439412599999997</v>
      </c>
      <c r="C786" s="12">
        <v>25.084530474850911</v>
      </c>
      <c r="D786" s="5">
        <f t="shared" si="22"/>
        <v>5</v>
      </c>
      <c r="Q786" s="4">
        <v>49796</v>
      </c>
      <c r="R786" s="7">
        <v>42.623581865627607</v>
      </c>
      <c r="S786" s="7">
        <v>50.424061191052466</v>
      </c>
      <c r="T786" s="8">
        <v>0.17133358503269938</v>
      </c>
      <c r="U786" s="7">
        <v>50.106939998218536</v>
      </c>
    </row>
    <row r="787" spans="1:21" x14ac:dyDescent="0.3">
      <c r="A787" s="4">
        <v>49827</v>
      </c>
      <c r="B787" s="13">
        <f t="shared" si="21"/>
        <v>100.87269499999999</v>
      </c>
      <c r="C787" s="12">
        <v>12.137486264691683</v>
      </c>
      <c r="D787" s="5">
        <f t="shared" si="22"/>
        <v>6</v>
      </c>
      <c r="Q787" s="4">
        <v>49827</v>
      </c>
      <c r="R787" s="7">
        <v>12.297409257868937</v>
      </c>
      <c r="S787" s="7">
        <v>19.957112787124462</v>
      </c>
      <c r="T787" s="8">
        <v>0.43587428885088747</v>
      </c>
      <c r="U787" s="7">
        <v>21.488843792950696</v>
      </c>
    </row>
    <row r="788" spans="1:21" x14ac:dyDescent="0.3">
      <c r="A788" s="4">
        <v>49857</v>
      </c>
      <c r="B788" s="13">
        <f t="shared" si="21"/>
        <v>126.56211570000001</v>
      </c>
      <c r="C788" s="12">
        <v>3.2981738019088859E-2</v>
      </c>
      <c r="D788" s="5">
        <f t="shared" si="22"/>
        <v>7</v>
      </c>
      <c r="Q788" s="4">
        <v>49857</v>
      </c>
      <c r="R788" s="7">
        <v>0.11935058208971933</v>
      </c>
      <c r="S788" s="7">
        <v>0.58872319817191854</v>
      </c>
      <c r="T788" s="8">
        <v>2.548559411086122E-2</v>
      </c>
      <c r="U788" s="7">
        <v>1.4279847246414219</v>
      </c>
    </row>
    <row r="789" spans="1:21" x14ac:dyDescent="0.3">
      <c r="A789" s="4">
        <v>49888</v>
      </c>
      <c r="B789" s="13">
        <f t="shared" si="21"/>
        <v>219.97909089999999</v>
      </c>
      <c r="C789" s="12">
        <v>19.659793755272393</v>
      </c>
      <c r="D789" s="5">
        <f t="shared" si="22"/>
        <v>8</v>
      </c>
      <c r="Q789" s="4">
        <v>49888</v>
      </c>
      <c r="R789" s="7">
        <v>106.92610284267849</v>
      </c>
      <c r="S789" s="7">
        <v>64.870130113772689</v>
      </c>
      <c r="T789" s="8">
        <v>0.93228777637086568</v>
      </c>
      <c r="U789" s="7">
        <v>72.822681547914527</v>
      </c>
    </row>
    <row r="790" spans="1:21" x14ac:dyDescent="0.3">
      <c r="A790" s="4">
        <v>49919</v>
      </c>
      <c r="B790" s="13">
        <f t="shared" si="21"/>
        <v>221.57449120000001</v>
      </c>
      <c r="C790" s="12">
        <v>7.2137773750000571</v>
      </c>
      <c r="D790" s="5">
        <f t="shared" si="22"/>
        <v>9</v>
      </c>
      <c r="Q790" s="4">
        <v>49919</v>
      </c>
      <c r="R790" s="7">
        <v>24.172183182561952</v>
      </c>
      <c r="S790" s="7">
        <v>39.638938576464938</v>
      </c>
      <c r="T790" s="8">
        <v>0.4101236169644098</v>
      </c>
      <c r="U790" s="7">
        <v>39.077129711204876</v>
      </c>
    </row>
    <row r="791" spans="1:21" x14ac:dyDescent="0.3">
      <c r="A791" s="4">
        <v>49949</v>
      </c>
      <c r="B791" s="13">
        <f t="shared" si="21"/>
        <v>57.167225799999997</v>
      </c>
      <c r="C791" s="12">
        <v>85.056285595055769</v>
      </c>
      <c r="D791" s="5">
        <f t="shared" si="22"/>
        <v>10</v>
      </c>
      <c r="Q791" s="4">
        <v>49949</v>
      </c>
      <c r="R791" s="7">
        <v>208.76365844167023</v>
      </c>
      <c r="S791" s="7">
        <v>210.57184158223114</v>
      </c>
      <c r="T791" s="8">
        <v>0.70163252260354492</v>
      </c>
      <c r="U791" s="7">
        <v>205.19189999637504</v>
      </c>
    </row>
    <row r="792" spans="1:21" x14ac:dyDescent="0.3">
      <c r="A792" s="4">
        <v>49980</v>
      </c>
      <c r="B792" s="13">
        <f t="shared" si="21"/>
        <v>52.720329100000001</v>
      </c>
      <c r="C792" s="12">
        <v>22.663762763841088</v>
      </c>
      <c r="D792" s="5">
        <f t="shared" si="22"/>
        <v>11</v>
      </c>
      <c r="Q792" s="4">
        <v>49980</v>
      </c>
      <c r="R792" s="7">
        <v>49.119741647745784</v>
      </c>
      <c r="S792" s="7">
        <v>91.28731122648594</v>
      </c>
      <c r="T792" s="8">
        <v>4.1856597876427697E-2</v>
      </c>
      <c r="U792" s="7">
        <v>92.441871600103113</v>
      </c>
    </row>
    <row r="793" spans="1:21" x14ac:dyDescent="0.3">
      <c r="A793" s="4">
        <v>50010</v>
      </c>
      <c r="B793" s="13">
        <f t="shared" si="21"/>
        <v>18.868248399999999</v>
      </c>
      <c r="C793" s="12">
        <v>129.73617300158352</v>
      </c>
      <c r="D793" s="5">
        <f t="shared" si="22"/>
        <v>12</v>
      </c>
      <c r="Q793" s="4">
        <v>50010</v>
      </c>
      <c r="R793" s="7">
        <v>273.70892776427053</v>
      </c>
      <c r="S793" s="7">
        <v>271.09554386760726</v>
      </c>
      <c r="T793" s="8">
        <v>0.69542423900069716</v>
      </c>
      <c r="U793" s="7">
        <v>270.12313423715955</v>
      </c>
    </row>
    <row r="794" spans="1:21" x14ac:dyDescent="0.3">
      <c r="A794" s="4">
        <v>50041</v>
      </c>
      <c r="B794" s="13">
        <f t="shared" si="21"/>
        <v>36.836727199999999</v>
      </c>
      <c r="C794" s="12">
        <v>152.40620317636049</v>
      </c>
      <c r="D794" s="5">
        <f t="shared" si="22"/>
        <v>1</v>
      </c>
      <c r="Q794" s="4">
        <v>50041</v>
      </c>
      <c r="R794" s="7">
        <v>209.56272238284888</v>
      </c>
      <c r="S794" s="7">
        <v>218.0463886302671</v>
      </c>
      <c r="T794" s="8">
        <v>0.7664474317963994</v>
      </c>
      <c r="U794" s="7">
        <v>219.99920095263818</v>
      </c>
    </row>
    <row r="795" spans="1:21" x14ac:dyDescent="0.3">
      <c r="A795" s="4">
        <v>50072</v>
      </c>
      <c r="B795" s="13">
        <f t="shared" si="21"/>
        <v>47.116242999999997</v>
      </c>
      <c r="C795" s="12">
        <v>136.5908340085299</v>
      </c>
      <c r="D795" s="5">
        <f t="shared" si="22"/>
        <v>2</v>
      </c>
      <c r="Q795" s="4">
        <v>50072</v>
      </c>
      <c r="R795" s="7">
        <v>266.92855822071476</v>
      </c>
      <c r="S795" s="7">
        <v>255.16560279965302</v>
      </c>
      <c r="T795" s="8">
        <v>0.78189758835872192</v>
      </c>
      <c r="U795" s="7">
        <v>253.93375648914042</v>
      </c>
    </row>
    <row r="796" spans="1:21" x14ac:dyDescent="0.3">
      <c r="A796" s="4">
        <v>50100</v>
      </c>
      <c r="B796" s="13">
        <f t="shared" si="21"/>
        <v>48.831038399999997</v>
      </c>
      <c r="C796" s="12">
        <v>50.854051765054528</v>
      </c>
      <c r="D796" s="5">
        <f t="shared" si="22"/>
        <v>3</v>
      </c>
      <c r="Q796" s="4">
        <v>50100</v>
      </c>
      <c r="R796" s="7">
        <v>108.36651750919982</v>
      </c>
      <c r="S796" s="7">
        <v>112.15400384591507</v>
      </c>
      <c r="T796" s="8">
        <v>0.3373030364853063</v>
      </c>
      <c r="U796" s="7">
        <v>111.96417006970132</v>
      </c>
    </row>
    <row r="797" spans="1:21" x14ac:dyDescent="0.3">
      <c r="A797" s="4">
        <v>50131</v>
      </c>
      <c r="B797" s="13">
        <f t="shared" si="21"/>
        <v>247.66047760000001</v>
      </c>
      <c r="C797" s="12">
        <v>24.178207910154015</v>
      </c>
      <c r="D797" s="5">
        <f t="shared" si="22"/>
        <v>4</v>
      </c>
      <c r="Q797" s="4">
        <v>50131</v>
      </c>
      <c r="R797" s="7">
        <v>45.532685399529385</v>
      </c>
      <c r="S797" s="7">
        <v>38.659787032317716</v>
      </c>
      <c r="T797" s="8">
        <v>2.7306119748765185E-2</v>
      </c>
      <c r="U797" s="7">
        <v>38.001384813678676</v>
      </c>
    </row>
    <row r="798" spans="1:21" x14ac:dyDescent="0.3">
      <c r="A798" s="4">
        <v>50161</v>
      </c>
      <c r="B798" s="13">
        <f t="shared" si="21"/>
        <v>129.6517126</v>
      </c>
      <c r="C798" s="12">
        <v>129.57873005652812</v>
      </c>
      <c r="D798" s="5">
        <f t="shared" si="22"/>
        <v>5</v>
      </c>
      <c r="Q798" s="4">
        <v>50161</v>
      </c>
      <c r="R798" s="7">
        <v>220.17990785778554</v>
      </c>
      <c r="S798" s="7">
        <v>202.51231789082757</v>
      </c>
      <c r="T798" s="8">
        <v>0.92807577927855656</v>
      </c>
      <c r="U798" s="7">
        <v>204.20526198612447</v>
      </c>
    </row>
    <row r="799" spans="1:21" x14ac:dyDescent="0.3">
      <c r="A799" s="4">
        <v>50192</v>
      </c>
      <c r="B799" s="13">
        <f t="shared" si="21"/>
        <v>153.43185199999999</v>
      </c>
      <c r="C799" s="12">
        <v>19.333967909915369</v>
      </c>
      <c r="D799" s="5">
        <f t="shared" si="22"/>
        <v>6</v>
      </c>
      <c r="Q799" s="4">
        <v>50192</v>
      </c>
      <c r="R799" s="7">
        <v>19.58871143346861</v>
      </c>
      <c r="S799" s="7">
        <v>26.668448850688375</v>
      </c>
      <c r="T799" s="8">
        <v>0.54936329167332998</v>
      </c>
      <c r="U799" s="7">
        <v>27.321640962333124</v>
      </c>
    </row>
    <row r="800" spans="1:21" x14ac:dyDescent="0.3">
      <c r="A800" s="4">
        <v>50222</v>
      </c>
      <c r="B800" s="13">
        <f t="shared" si="21"/>
        <v>74.361201199999996</v>
      </c>
      <c r="C800" s="12">
        <v>3.6208244691806617</v>
      </c>
      <c r="D800" s="5">
        <f t="shared" si="22"/>
        <v>7</v>
      </c>
      <c r="Q800" s="4">
        <v>50222</v>
      </c>
      <c r="R800" s="7">
        <v>13.102629939977593</v>
      </c>
      <c r="S800" s="7">
        <v>17.704882479955142</v>
      </c>
      <c r="T800" s="8">
        <v>0.47576732374428216</v>
      </c>
      <c r="U800" s="7">
        <v>18.627733027389421</v>
      </c>
    </row>
    <row r="801" spans="1:21" x14ac:dyDescent="0.3">
      <c r="A801" s="4">
        <v>50253</v>
      </c>
      <c r="B801" s="13">
        <f t="shared" si="21"/>
        <v>246.11133939999999</v>
      </c>
      <c r="C801" s="12">
        <v>0.43270158630548433</v>
      </c>
      <c r="D801" s="5">
        <f t="shared" si="22"/>
        <v>8</v>
      </c>
      <c r="Q801" s="4">
        <v>50253</v>
      </c>
      <c r="R801" s="7">
        <v>2.3533865560050629</v>
      </c>
      <c r="S801" s="7">
        <v>21.902384267464164</v>
      </c>
      <c r="T801" s="8">
        <v>0.19482572258467326</v>
      </c>
      <c r="U801" s="7">
        <v>12.684499281333418</v>
      </c>
    </row>
    <row r="802" spans="1:21" x14ac:dyDescent="0.3">
      <c r="A802" s="4">
        <v>50284</v>
      </c>
      <c r="B802" s="13">
        <f t="shared" si="21"/>
        <v>138.568602</v>
      </c>
      <c r="C802" s="12">
        <v>26.106072094989969</v>
      </c>
      <c r="D802" s="5">
        <f t="shared" si="22"/>
        <v>9</v>
      </c>
      <c r="Q802" s="4">
        <v>50284</v>
      </c>
      <c r="R802" s="7">
        <v>87.47715989187445</v>
      </c>
      <c r="S802" s="7">
        <v>87.888763522655921</v>
      </c>
      <c r="T802" s="8">
        <v>0.77103082052245309</v>
      </c>
      <c r="U802" s="7">
        <v>84.545460193732595</v>
      </c>
    </row>
    <row r="803" spans="1:21" x14ac:dyDescent="0.3">
      <c r="A803" s="4">
        <v>50314</v>
      </c>
      <c r="B803" s="13">
        <f t="shared" si="21"/>
        <v>280.42951640000001</v>
      </c>
      <c r="C803" s="12">
        <v>61.021462449571182</v>
      </c>
      <c r="D803" s="5">
        <f t="shared" si="22"/>
        <v>10</v>
      </c>
      <c r="Q803" s="4">
        <v>50314</v>
      </c>
      <c r="R803" s="7">
        <v>149.77216151999463</v>
      </c>
      <c r="S803" s="7">
        <v>173.91997745540502</v>
      </c>
      <c r="T803" s="8">
        <v>0.56578596194644326</v>
      </c>
      <c r="U803" s="7">
        <v>169.72131472199484</v>
      </c>
    </row>
    <row r="804" spans="1:21" x14ac:dyDescent="0.3">
      <c r="A804" s="4">
        <v>50345</v>
      </c>
      <c r="B804" s="13">
        <f t="shared" si="21"/>
        <v>87.0684057</v>
      </c>
      <c r="C804" s="12">
        <v>116.54592223931094</v>
      </c>
      <c r="D804" s="5">
        <f t="shared" si="22"/>
        <v>11</v>
      </c>
      <c r="Q804" s="4">
        <v>50345</v>
      </c>
      <c r="R804" s="7">
        <v>252.59290128233727</v>
      </c>
      <c r="S804" s="7">
        <v>243.91400091947236</v>
      </c>
      <c r="T804" s="8">
        <v>0.70691966813324458</v>
      </c>
      <c r="U804" s="7">
        <v>241.46094179774514</v>
      </c>
    </row>
    <row r="805" spans="1:21" x14ac:dyDescent="0.3">
      <c r="A805" s="4">
        <v>50375</v>
      </c>
      <c r="B805" s="13">
        <f t="shared" si="21"/>
        <v>25.3254023</v>
      </c>
      <c r="C805" s="12">
        <v>56.279144139261945</v>
      </c>
      <c r="D805" s="5">
        <f t="shared" si="22"/>
        <v>12</v>
      </c>
      <c r="Q805" s="4">
        <v>50375</v>
      </c>
      <c r="R805" s="7">
        <v>118.73407270661666</v>
      </c>
      <c r="S805" s="7">
        <v>134.30281275406992</v>
      </c>
      <c r="T805" s="8">
        <v>0.14134917116877765</v>
      </c>
      <c r="U805" s="7">
        <v>132.67223268748728</v>
      </c>
    </row>
    <row r="806" spans="1:21" x14ac:dyDescent="0.3">
      <c r="A806" s="4">
        <v>50406</v>
      </c>
      <c r="B806" s="13">
        <f t="shared" si="21"/>
        <v>4.5868741000000002</v>
      </c>
      <c r="C806" s="12">
        <v>5.161126604798473</v>
      </c>
      <c r="D806" s="5">
        <f t="shared" si="22"/>
        <v>1</v>
      </c>
      <c r="Q806" s="4">
        <v>50406</v>
      </c>
      <c r="R806" s="7">
        <v>7.0966910750512024</v>
      </c>
      <c r="S806" s="7">
        <v>2.509403784129133</v>
      </c>
      <c r="T806" s="8">
        <v>6.6468472107237765E-6</v>
      </c>
      <c r="U806" s="7">
        <v>1.3704201582059774</v>
      </c>
    </row>
    <row r="807" spans="1:21" x14ac:dyDescent="0.3">
      <c r="A807" s="4">
        <v>50437</v>
      </c>
      <c r="B807" s="13">
        <f t="shared" si="21"/>
        <v>44.024081199999998</v>
      </c>
      <c r="C807" s="12">
        <v>113.50437202490859</v>
      </c>
      <c r="D807" s="5">
        <f t="shared" si="22"/>
        <v>2</v>
      </c>
      <c r="Q807" s="4">
        <v>50437</v>
      </c>
      <c r="R807" s="7">
        <v>221.81252934193552</v>
      </c>
      <c r="S807" s="7">
        <v>221.07781471794596</v>
      </c>
      <c r="T807" s="8">
        <v>0.66441304711169824</v>
      </c>
      <c r="U807" s="7">
        <v>219.43101279026908</v>
      </c>
    </row>
    <row r="808" spans="1:21" x14ac:dyDescent="0.3">
      <c r="A808" s="4">
        <v>50465</v>
      </c>
      <c r="B808" s="13">
        <f t="shared" si="21"/>
        <v>185.5295696</v>
      </c>
      <c r="C808" s="12">
        <v>8.9214459447248498</v>
      </c>
      <c r="D808" s="5">
        <f t="shared" si="22"/>
        <v>3</v>
      </c>
      <c r="Q808" s="4">
        <v>50465</v>
      </c>
      <c r="R808" s="7">
        <v>19.010993118954453</v>
      </c>
      <c r="S808" s="7">
        <v>22.480035185119291</v>
      </c>
      <c r="T808" s="8">
        <v>2.7572224093851197E-3</v>
      </c>
      <c r="U808" s="7">
        <v>23.426483719350685</v>
      </c>
    </row>
    <row r="809" spans="1:21" x14ac:dyDescent="0.3">
      <c r="A809" s="4">
        <v>50496</v>
      </c>
      <c r="B809" s="13">
        <f t="shared" si="21"/>
        <v>321.62831490000002</v>
      </c>
      <c r="C809" s="12">
        <v>39.755918376613472</v>
      </c>
      <c r="D809" s="5">
        <f t="shared" si="22"/>
        <v>4</v>
      </c>
      <c r="Q809" s="4">
        <v>50496</v>
      </c>
      <c r="R809" s="7">
        <v>74.868812897067158</v>
      </c>
      <c r="S809" s="7">
        <v>67.853852834746533</v>
      </c>
      <c r="T809" s="8">
        <v>0.13661068266373896</v>
      </c>
      <c r="U809" s="7">
        <v>67.84792399151182</v>
      </c>
    </row>
    <row r="810" spans="1:21" x14ac:dyDescent="0.3">
      <c r="A810" s="4">
        <v>50526</v>
      </c>
      <c r="B810" s="13">
        <f t="shared" si="21"/>
        <v>165.91360760000001</v>
      </c>
      <c r="C810" s="12">
        <v>1.5732058220237386</v>
      </c>
      <c r="D810" s="5">
        <f t="shared" si="22"/>
        <v>5</v>
      </c>
      <c r="Q810" s="4">
        <v>50526</v>
      </c>
      <c r="R810" s="7">
        <v>2.6731880516455768</v>
      </c>
      <c r="S810" s="7">
        <v>4.8346495373807299</v>
      </c>
      <c r="T810" s="8">
        <v>5.9063330971847496E-4</v>
      </c>
      <c r="U810" s="7">
        <v>5.6085524983494626</v>
      </c>
    </row>
    <row r="811" spans="1:21" x14ac:dyDescent="0.3">
      <c r="A811" s="4">
        <v>50557</v>
      </c>
      <c r="B811" s="13">
        <f t="shared" si="21"/>
        <v>36.387569599999999</v>
      </c>
      <c r="C811" s="12">
        <v>0.76393463587010058</v>
      </c>
      <c r="D811" s="5">
        <f t="shared" si="22"/>
        <v>6</v>
      </c>
      <c r="Q811" s="4">
        <v>50557</v>
      </c>
      <c r="R811" s="7">
        <v>0.77400020553550319</v>
      </c>
      <c r="S811" s="7">
        <v>3.5663168094050581</v>
      </c>
      <c r="T811" s="8">
        <v>8.8697034727682922E-2</v>
      </c>
      <c r="U811" s="7">
        <v>6.2678987985745716</v>
      </c>
    </row>
    <row r="812" spans="1:21" x14ac:dyDescent="0.3">
      <c r="A812" s="4">
        <v>50587</v>
      </c>
      <c r="B812" s="13">
        <f t="shared" si="21"/>
        <v>32.725071300000003</v>
      </c>
      <c r="C812" s="12">
        <v>7.3459282153635295</v>
      </c>
      <c r="D812" s="5">
        <f t="shared" si="22"/>
        <v>7</v>
      </c>
      <c r="Q812" s="4">
        <v>50587</v>
      </c>
      <c r="R812" s="7">
        <v>26.582613929729796</v>
      </c>
      <c r="S812" s="7">
        <v>29.556976720690759</v>
      </c>
      <c r="T812" s="8">
        <v>0.66911837011797948</v>
      </c>
      <c r="U812" s="7">
        <v>29.402976678731505</v>
      </c>
    </row>
    <row r="813" spans="1:21" x14ac:dyDescent="0.3">
      <c r="A813" s="4">
        <v>50618</v>
      </c>
      <c r="B813" s="13">
        <f t="shared" si="21"/>
        <v>184.34088729999999</v>
      </c>
      <c r="C813" s="12">
        <v>2.2834080744360112</v>
      </c>
      <c r="D813" s="5">
        <f t="shared" si="22"/>
        <v>8</v>
      </c>
      <c r="Q813" s="4">
        <v>50618</v>
      </c>
      <c r="R813" s="7">
        <v>12.419048217810998</v>
      </c>
      <c r="S813" s="7">
        <v>35.157988821400203</v>
      </c>
      <c r="T813" s="8">
        <v>0.44839792750395202</v>
      </c>
      <c r="U813" s="7">
        <v>24.423174515319673</v>
      </c>
    </row>
    <row r="814" spans="1:21" x14ac:dyDescent="0.3">
      <c r="A814" s="4">
        <v>50649</v>
      </c>
      <c r="B814" s="13">
        <f t="shared" si="21"/>
        <v>103.199764</v>
      </c>
      <c r="C814" s="12">
        <v>42.976975324563618</v>
      </c>
      <c r="D814" s="5">
        <f t="shared" si="22"/>
        <v>9</v>
      </c>
      <c r="Q814" s="4">
        <v>50649</v>
      </c>
      <c r="R814" s="7">
        <v>144.00878571301743</v>
      </c>
      <c r="S814" s="7">
        <v>119.66389246794074</v>
      </c>
      <c r="T814" s="8">
        <v>0.89363430356226436</v>
      </c>
      <c r="U814" s="7">
        <v>117.88750108811806</v>
      </c>
    </row>
    <row r="815" spans="1:21" x14ac:dyDescent="0.3">
      <c r="A815" s="4">
        <v>50679</v>
      </c>
      <c r="B815" s="13">
        <f t="shared" si="21"/>
        <v>72.381086999999994</v>
      </c>
      <c r="C815" s="12">
        <v>34.746463363990244</v>
      </c>
      <c r="D815" s="5">
        <f t="shared" si="22"/>
        <v>10</v>
      </c>
      <c r="Q815" s="4">
        <v>50679</v>
      </c>
      <c r="R815" s="7">
        <v>85.28233697284476</v>
      </c>
      <c r="S815" s="7">
        <v>125.75157885253009</v>
      </c>
      <c r="T815" s="8">
        <v>0.35593398337613269</v>
      </c>
      <c r="U815" s="7">
        <v>125.35867778264803</v>
      </c>
    </row>
    <row r="816" spans="1:21" x14ac:dyDescent="0.3">
      <c r="A816" s="4">
        <v>50710</v>
      </c>
      <c r="B816" s="13">
        <f t="shared" si="21"/>
        <v>77.566617100000002</v>
      </c>
      <c r="C816" s="12">
        <v>83.344561513513284</v>
      </c>
      <c r="D816" s="5">
        <f t="shared" si="22"/>
        <v>11</v>
      </c>
      <c r="Q816" s="4">
        <v>50710</v>
      </c>
      <c r="R816" s="7">
        <v>180.63475919453168</v>
      </c>
      <c r="S816" s="7">
        <v>199.45217610125621</v>
      </c>
      <c r="T816" s="8">
        <v>0.49260125227720458</v>
      </c>
      <c r="U816" s="7">
        <v>195.40105780015426</v>
      </c>
    </row>
    <row r="817" spans="1:21" x14ac:dyDescent="0.3">
      <c r="A817" s="4">
        <v>50740</v>
      </c>
      <c r="B817" s="13">
        <f t="shared" si="21"/>
        <v>59.071693099999997</v>
      </c>
      <c r="C817" s="12">
        <v>54.182750108884584</v>
      </c>
      <c r="D817" s="5">
        <f t="shared" si="22"/>
        <v>12</v>
      </c>
      <c r="Q817" s="4">
        <v>50740</v>
      </c>
      <c r="R817" s="7">
        <v>114.31123712460052</v>
      </c>
      <c r="S817" s="7">
        <v>130.08290696287446</v>
      </c>
      <c r="T817" s="8">
        <v>0.12775889490415149</v>
      </c>
      <c r="U817" s="7">
        <v>128.53270577242193</v>
      </c>
    </row>
    <row r="818" spans="1:21" x14ac:dyDescent="0.3">
      <c r="A818" s="4">
        <v>50771</v>
      </c>
      <c r="B818" s="13">
        <f t="shared" si="21"/>
        <v>24.494136900000001</v>
      </c>
      <c r="C818" s="12">
        <v>61.62427755771202</v>
      </c>
      <c r="D818" s="5">
        <f t="shared" si="22"/>
        <v>1</v>
      </c>
      <c r="Q818" s="4">
        <v>50771</v>
      </c>
      <c r="R818" s="7">
        <v>84.735077055403764</v>
      </c>
      <c r="S818" s="7">
        <v>66.058578513138727</v>
      </c>
      <c r="T818" s="8">
        <v>0.13261492089984114</v>
      </c>
      <c r="U818" s="7">
        <v>64.7559854602424</v>
      </c>
    </row>
    <row r="819" spans="1:21" x14ac:dyDescent="0.3">
      <c r="A819" s="4">
        <v>50802</v>
      </c>
      <c r="B819" s="13">
        <f t="shared" si="21"/>
        <v>94.513683099999994</v>
      </c>
      <c r="C819" s="12">
        <v>67.449183412827452</v>
      </c>
      <c r="D819" s="5">
        <f t="shared" si="22"/>
        <v>2</v>
      </c>
      <c r="Q819" s="4">
        <v>50802</v>
      </c>
      <c r="R819" s="7">
        <v>131.81055238615974</v>
      </c>
      <c r="S819" s="7">
        <v>147.73375588786905</v>
      </c>
      <c r="T819" s="8">
        <v>0.32233943954507244</v>
      </c>
      <c r="U819" s="7">
        <v>147.08397719113631</v>
      </c>
    </row>
    <row r="820" spans="1:21" x14ac:dyDescent="0.3">
      <c r="A820" s="4">
        <v>50830</v>
      </c>
      <c r="B820" s="13">
        <f t="shared" si="21"/>
        <v>30.669225600000001</v>
      </c>
      <c r="C820" s="12">
        <v>97.71114962641137</v>
      </c>
      <c r="D820" s="5">
        <f t="shared" si="22"/>
        <v>3</v>
      </c>
      <c r="Q820" s="4">
        <v>50830</v>
      </c>
      <c r="R820" s="7">
        <v>208.21579872836702</v>
      </c>
      <c r="S820" s="7">
        <v>204.98350942740342</v>
      </c>
      <c r="T820" s="8">
        <v>0.79578681613197055</v>
      </c>
      <c r="U820" s="7">
        <v>204.66060054513156</v>
      </c>
    </row>
    <row r="821" spans="1:21" x14ac:dyDescent="0.3">
      <c r="A821" s="4">
        <v>50861</v>
      </c>
      <c r="B821" s="13">
        <f t="shared" si="21"/>
        <v>154.65396000000001</v>
      </c>
      <c r="C821" s="12">
        <v>71.03820570046075</v>
      </c>
      <c r="D821" s="5">
        <f t="shared" si="22"/>
        <v>4</v>
      </c>
      <c r="Q821" s="4">
        <v>50861</v>
      </c>
      <c r="R821" s="7">
        <v>133.77998417110683</v>
      </c>
      <c r="S821" s="7">
        <v>130.83990613554496</v>
      </c>
      <c r="T821" s="8">
        <v>0.51494624219496432</v>
      </c>
      <c r="U821" s="7">
        <v>131.60635932285808</v>
      </c>
    </row>
    <row r="822" spans="1:21" x14ac:dyDescent="0.3">
      <c r="A822" s="4">
        <v>50891</v>
      </c>
      <c r="B822" s="13">
        <f t="shared" si="21"/>
        <v>158.86136239999999</v>
      </c>
      <c r="C822" s="12">
        <v>82.836006826255371</v>
      </c>
      <c r="D822" s="5">
        <f t="shared" si="22"/>
        <v>5</v>
      </c>
      <c r="Q822" s="4">
        <v>50891</v>
      </c>
      <c r="R822" s="7">
        <v>140.75477003328555</v>
      </c>
      <c r="S822" s="7">
        <v>138.65100573953669</v>
      </c>
      <c r="T822" s="8">
        <v>0.74807803290756847</v>
      </c>
      <c r="U822" s="7">
        <v>137.80767751524922</v>
      </c>
    </row>
    <row r="823" spans="1:21" x14ac:dyDescent="0.3">
      <c r="A823" s="4">
        <v>50922</v>
      </c>
      <c r="B823" s="13">
        <f t="shared" si="21"/>
        <v>167.54897070000001</v>
      </c>
      <c r="C823" s="12">
        <v>4.3304315295244953</v>
      </c>
      <c r="D823" s="5">
        <f t="shared" si="22"/>
        <v>6</v>
      </c>
      <c r="Q823" s="4">
        <v>50922</v>
      </c>
      <c r="R823" s="7">
        <v>4.3874891077452274</v>
      </c>
      <c r="S823" s="7">
        <v>10.504851407446203</v>
      </c>
      <c r="T823" s="8">
        <v>0.24711802974246377</v>
      </c>
      <c r="U823" s="7">
        <v>13.153351511603638</v>
      </c>
    </row>
    <row r="824" spans="1:21" x14ac:dyDescent="0.3">
      <c r="A824" s="4">
        <v>50952</v>
      </c>
      <c r="B824" s="13">
        <f t="shared" si="21"/>
        <v>98.888573500000007</v>
      </c>
      <c r="C824" s="12">
        <v>0.64892939999481192</v>
      </c>
      <c r="D824" s="5">
        <f t="shared" si="22"/>
        <v>7</v>
      </c>
      <c r="Q824" s="4">
        <v>50952</v>
      </c>
      <c r="R824" s="7">
        <v>2.3482722947980266</v>
      </c>
      <c r="S824" s="7">
        <v>5.096144739473619</v>
      </c>
      <c r="T824" s="8">
        <v>0.17248203581368818</v>
      </c>
      <c r="U824" s="7">
        <v>6.8161728913346957</v>
      </c>
    </row>
    <row r="825" spans="1:21" x14ac:dyDescent="0.3">
      <c r="A825" s="4">
        <v>50983</v>
      </c>
      <c r="B825" s="13">
        <f t="shared" si="21"/>
        <v>216.11872360000001</v>
      </c>
      <c r="C825" s="12">
        <v>1.1881501376365115E-2</v>
      </c>
      <c r="D825" s="5">
        <f t="shared" si="22"/>
        <v>8</v>
      </c>
      <c r="Q825" s="4">
        <v>50983</v>
      </c>
      <c r="R825" s="7">
        <v>6.4621361439965927E-2</v>
      </c>
      <c r="S825" s="7">
        <v>7.8753954337378023</v>
      </c>
      <c r="T825" s="8">
        <v>2.8885457016747853E-2</v>
      </c>
      <c r="U825" s="7">
        <v>3.8735241563624352</v>
      </c>
    </row>
    <row r="826" spans="1:21" x14ac:dyDescent="0.3">
      <c r="A826" s="4">
        <v>51014</v>
      </c>
      <c r="B826" s="13">
        <f t="shared" si="21"/>
        <v>115.6374318</v>
      </c>
      <c r="C826" s="12">
        <v>26.570333400741102</v>
      </c>
      <c r="D826" s="5">
        <f t="shared" si="22"/>
        <v>9</v>
      </c>
      <c r="Q826" s="4">
        <v>51014</v>
      </c>
      <c r="R826" s="7">
        <v>89.032823276508879</v>
      </c>
      <c r="S826" s="7">
        <v>88.853142215142029</v>
      </c>
      <c r="T826" s="8">
        <v>0.77594069452940195</v>
      </c>
      <c r="U826" s="7">
        <v>85.515325929965826</v>
      </c>
    </row>
    <row r="827" spans="1:21" x14ac:dyDescent="0.3">
      <c r="A827" s="4">
        <v>51044</v>
      </c>
      <c r="B827" s="13">
        <f t="shared" si="21"/>
        <v>135.638418</v>
      </c>
      <c r="C827" s="12">
        <v>183.16511556040484</v>
      </c>
      <c r="D827" s="5">
        <f t="shared" si="22"/>
        <v>10</v>
      </c>
      <c r="Q827" s="4">
        <v>51044</v>
      </c>
      <c r="R827" s="7">
        <v>449.56371367225751</v>
      </c>
      <c r="S827" s="7">
        <v>327.51848850245983</v>
      </c>
      <c r="T827" s="8">
        <v>0.93942774897904324</v>
      </c>
      <c r="U827" s="7">
        <v>329.74280523328105</v>
      </c>
    </row>
    <row r="828" spans="1:21" x14ac:dyDescent="0.3">
      <c r="A828" s="4">
        <v>51075</v>
      </c>
      <c r="B828" s="13">
        <f t="shared" si="21"/>
        <v>70.1243257</v>
      </c>
      <c r="C828" s="12">
        <v>88.027151534333726</v>
      </c>
      <c r="D828" s="5">
        <f t="shared" si="22"/>
        <v>11</v>
      </c>
      <c r="Q828" s="4">
        <v>51075</v>
      </c>
      <c r="R828" s="7">
        <v>190.78345402785294</v>
      </c>
      <c r="S828" s="7">
        <v>206.10411230741786</v>
      </c>
      <c r="T828" s="8">
        <v>0.52750632710360867</v>
      </c>
      <c r="U828" s="7">
        <v>202.14199094710133</v>
      </c>
    </row>
    <row r="829" spans="1:21" x14ac:dyDescent="0.3">
      <c r="A829" s="4">
        <v>51105</v>
      </c>
      <c r="B829" s="13">
        <f t="shared" si="21"/>
        <v>34.284922799999997</v>
      </c>
      <c r="C829" s="12">
        <v>86.767578742001334</v>
      </c>
      <c r="D829" s="5">
        <f t="shared" si="22"/>
        <v>12</v>
      </c>
      <c r="Q829" s="4">
        <v>51105</v>
      </c>
      <c r="R829" s="7">
        <v>183.05658624511162</v>
      </c>
      <c r="S829" s="7">
        <v>193.2853737355592</v>
      </c>
      <c r="T829" s="8">
        <v>0.38012815608458866</v>
      </c>
      <c r="U829" s="7">
        <v>191.15680593727296</v>
      </c>
    </row>
    <row r="830" spans="1:21" x14ac:dyDescent="0.3">
      <c r="A830" s="4">
        <v>51136</v>
      </c>
      <c r="B830" s="13">
        <f t="shared" si="21"/>
        <v>47.185914199999999</v>
      </c>
      <c r="C830" s="12">
        <v>118.74572391388928</v>
      </c>
      <c r="D830" s="5">
        <f t="shared" si="22"/>
        <v>1</v>
      </c>
      <c r="Q830" s="4">
        <v>51136</v>
      </c>
      <c r="R830" s="7">
        <v>163.27863732633571</v>
      </c>
      <c r="S830" s="7">
        <v>156.89570706534505</v>
      </c>
      <c r="T830" s="8">
        <v>0.56528185219168203</v>
      </c>
      <c r="U830" s="7">
        <v>158.85010362538057</v>
      </c>
    </row>
    <row r="831" spans="1:21" x14ac:dyDescent="0.3">
      <c r="A831" s="4">
        <v>51167</v>
      </c>
      <c r="B831" s="13">
        <f t="shared" si="21"/>
        <v>24.617494700000002</v>
      </c>
      <c r="C831" s="12">
        <v>126.92313347943121</v>
      </c>
      <c r="D831" s="5">
        <f t="shared" si="22"/>
        <v>2</v>
      </c>
      <c r="Q831" s="4">
        <v>51167</v>
      </c>
      <c r="R831" s="7">
        <v>248.03574317735104</v>
      </c>
      <c r="S831" s="7">
        <v>241.06290407581162</v>
      </c>
      <c r="T831" s="8">
        <v>0.73745318759974898</v>
      </c>
      <c r="U831" s="7">
        <v>239.5908686506439</v>
      </c>
    </row>
    <row r="832" spans="1:21" x14ac:dyDescent="0.3">
      <c r="A832" s="4">
        <v>51196</v>
      </c>
      <c r="B832" s="13">
        <f t="shared" ref="B832:B895" si="23">B451</f>
        <v>22.664901700000001</v>
      </c>
      <c r="C832" s="12">
        <v>119.70992797287185</v>
      </c>
      <c r="D832" s="5">
        <f t="shared" si="22"/>
        <v>3</v>
      </c>
      <c r="Q832" s="4">
        <v>51196</v>
      </c>
      <c r="R832" s="7">
        <v>255.09369569273213</v>
      </c>
      <c r="S832" s="7">
        <v>247.25965880194894</v>
      </c>
      <c r="T832" s="8">
        <v>0.89878763826895636</v>
      </c>
      <c r="U832" s="7">
        <v>247.37707662213174</v>
      </c>
    </row>
    <row r="833" spans="1:21" x14ac:dyDescent="0.3">
      <c r="A833" s="4">
        <v>51227</v>
      </c>
      <c r="B833" s="13">
        <f t="shared" si="23"/>
        <v>175.37051400000001</v>
      </c>
      <c r="C833" s="12">
        <v>46.378095983527622</v>
      </c>
      <c r="D833" s="5">
        <f t="shared" si="22"/>
        <v>4</v>
      </c>
      <c r="Q833" s="4">
        <v>51227</v>
      </c>
      <c r="R833" s="7">
        <v>87.339775623332741</v>
      </c>
      <c r="S833" s="7">
        <v>80.772721867204766</v>
      </c>
      <c r="T833" s="8">
        <v>0.20766699215560167</v>
      </c>
      <c r="U833" s="7">
        <v>81.014784083033291</v>
      </c>
    </row>
    <row r="834" spans="1:21" x14ac:dyDescent="0.3">
      <c r="A834" s="4">
        <v>51257</v>
      </c>
      <c r="B834" s="13">
        <f t="shared" si="23"/>
        <v>162.70918889999999</v>
      </c>
      <c r="C834" s="12">
        <v>37.190665697562551</v>
      </c>
      <c r="D834" s="5">
        <f t="shared" si="22"/>
        <v>5</v>
      </c>
      <c r="Q834" s="4">
        <v>51257</v>
      </c>
      <c r="R834" s="7">
        <v>63.194301587048841</v>
      </c>
      <c r="S834" s="7">
        <v>70.379992131854891</v>
      </c>
      <c r="T834" s="8">
        <v>0.31545078536838145</v>
      </c>
      <c r="U834" s="7">
        <v>69.53411173753976</v>
      </c>
    </row>
    <row r="835" spans="1:21" x14ac:dyDescent="0.3">
      <c r="A835" s="4">
        <v>51288</v>
      </c>
      <c r="B835" s="13">
        <f t="shared" si="23"/>
        <v>347.3191324</v>
      </c>
      <c r="C835" s="12">
        <v>49.85554487211639</v>
      </c>
      <c r="D835" s="5">
        <f t="shared" ref="D835:D898" si="24">MONTH(A835)</f>
        <v>6</v>
      </c>
      <c r="Q835" s="4">
        <v>51288</v>
      </c>
      <c r="R835" s="7">
        <v>50.512439371402095</v>
      </c>
      <c r="S835" s="7">
        <v>48.101823920726339</v>
      </c>
      <c r="T835" s="8">
        <v>0.80183184740647628</v>
      </c>
      <c r="U835" s="7">
        <v>46.657319193026403</v>
      </c>
    </row>
    <row r="836" spans="1:21" x14ac:dyDescent="0.3">
      <c r="A836" s="4">
        <v>51318</v>
      </c>
      <c r="B836" s="13">
        <f t="shared" si="23"/>
        <v>106.89417779999999</v>
      </c>
      <c r="C836" s="12">
        <v>0.42611169883457456</v>
      </c>
      <c r="D836" s="5">
        <f t="shared" si="24"/>
        <v>7</v>
      </c>
      <c r="Q836" s="4">
        <v>51318</v>
      </c>
      <c r="R836" s="7">
        <v>1.541964806757949</v>
      </c>
      <c r="S836" s="7">
        <v>3.7576039397474887</v>
      </c>
      <c r="T836" s="8">
        <v>0.1323050447349865</v>
      </c>
      <c r="U836" s="7">
        <v>5.413910738170836</v>
      </c>
    </row>
    <row r="837" spans="1:21" x14ac:dyDescent="0.3">
      <c r="A837" s="4">
        <v>51349</v>
      </c>
      <c r="B837" s="13">
        <f t="shared" si="23"/>
        <v>62.369472000000002</v>
      </c>
      <c r="C837" s="12">
        <v>0.94594075226268659</v>
      </c>
      <c r="D837" s="5">
        <f t="shared" si="24"/>
        <v>8</v>
      </c>
      <c r="Q837" s="4">
        <v>51349</v>
      </c>
      <c r="R837" s="7">
        <v>5.1448026067107273</v>
      </c>
      <c r="S837" s="7">
        <v>27.361149812782955</v>
      </c>
      <c r="T837" s="8">
        <v>0.29135458674415043</v>
      </c>
      <c r="U837" s="7">
        <v>17.025414033591488</v>
      </c>
    </row>
    <row r="838" spans="1:21" x14ac:dyDescent="0.3">
      <c r="A838" s="4">
        <v>51380</v>
      </c>
      <c r="B838" s="13">
        <f t="shared" si="23"/>
        <v>39.724762900000002</v>
      </c>
      <c r="C838" s="12">
        <v>8.4620891720987856</v>
      </c>
      <c r="D838" s="5">
        <f t="shared" si="24"/>
        <v>9</v>
      </c>
      <c r="Q838" s="4">
        <v>51380</v>
      </c>
      <c r="R838" s="7">
        <v>28.355070990133548</v>
      </c>
      <c r="S838" s="7">
        <v>43.755661386196273</v>
      </c>
      <c r="T838" s="8">
        <v>0.44973381817832042</v>
      </c>
      <c r="U838" s="7">
        <v>42.754338720248278</v>
      </c>
    </row>
    <row r="839" spans="1:21" x14ac:dyDescent="0.3">
      <c r="A839" s="4">
        <v>51410</v>
      </c>
      <c r="B839" s="13">
        <f t="shared" si="23"/>
        <v>96.907734899999994</v>
      </c>
      <c r="C839" s="12">
        <v>2.9161776456021378</v>
      </c>
      <c r="D839" s="5">
        <f t="shared" si="24"/>
        <v>10</v>
      </c>
      <c r="Q839" s="4">
        <v>51410</v>
      </c>
      <c r="R839" s="7">
        <v>7.1575182210532269</v>
      </c>
      <c r="S839" s="7">
        <v>30.18884988887163</v>
      </c>
      <c r="T839" s="8">
        <v>2.3292108456791381E-2</v>
      </c>
      <c r="U839" s="7">
        <v>40.369658193447371</v>
      </c>
    </row>
    <row r="840" spans="1:21" x14ac:dyDescent="0.3">
      <c r="A840" s="4">
        <v>51441</v>
      </c>
      <c r="B840" s="13">
        <f t="shared" si="23"/>
        <v>30.484929999999999</v>
      </c>
      <c r="C840" s="12">
        <v>168.60648966394362</v>
      </c>
      <c r="D840" s="5">
        <f t="shared" si="24"/>
        <v>11</v>
      </c>
      <c r="Q840" s="4">
        <v>51441</v>
      </c>
      <c r="R840" s="7">
        <v>365.4250752059408</v>
      </c>
      <c r="S840" s="7">
        <v>304.43301880928936</v>
      </c>
      <c r="T840" s="8">
        <v>0.89335580985197227</v>
      </c>
      <c r="U840" s="7">
        <v>308.02922716504992</v>
      </c>
    </row>
    <row r="841" spans="1:21" x14ac:dyDescent="0.3">
      <c r="A841" s="4">
        <v>51471</v>
      </c>
      <c r="B841" s="13">
        <f t="shared" si="23"/>
        <v>23.397945700000001</v>
      </c>
      <c r="C841" s="12">
        <v>259.3158774543553</v>
      </c>
      <c r="D841" s="5">
        <f t="shared" si="24"/>
        <v>12</v>
      </c>
      <c r="Q841" s="4">
        <v>51471</v>
      </c>
      <c r="R841" s="7">
        <v>547.08774837543751</v>
      </c>
      <c r="S841" s="7">
        <v>485.36030391037286</v>
      </c>
      <c r="T841" s="8">
        <v>0.98660421319347535</v>
      </c>
      <c r="U841" s="7">
        <v>497.34105529349392</v>
      </c>
    </row>
    <row r="842" spans="1:21" x14ac:dyDescent="0.3">
      <c r="A842" s="4">
        <v>51502</v>
      </c>
      <c r="B842" s="13">
        <f t="shared" si="23"/>
        <v>8.1107171999999998</v>
      </c>
      <c r="C842" s="12">
        <v>110.30276559758931</v>
      </c>
      <c r="D842" s="5">
        <f t="shared" si="24"/>
        <v>1</v>
      </c>
      <c r="Q842" s="4">
        <v>51502</v>
      </c>
      <c r="R842" s="7">
        <v>151.6693373578737</v>
      </c>
      <c r="S842" s="7">
        <v>142.35337686857392</v>
      </c>
      <c r="T842" s="8">
        <v>0.50274894298170425</v>
      </c>
      <c r="U842" s="7">
        <v>144.03844873603774</v>
      </c>
    </row>
    <row r="843" spans="1:21" x14ac:dyDescent="0.3">
      <c r="A843" s="4">
        <v>51533</v>
      </c>
      <c r="B843" s="13">
        <f t="shared" si="23"/>
        <v>23.8790099</v>
      </c>
      <c r="C843" s="12">
        <v>75.948989577591519</v>
      </c>
      <c r="D843" s="5">
        <f t="shared" si="24"/>
        <v>2</v>
      </c>
      <c r="Q843" s="4">
        <v>51533</v>
      </c>
      <c r="R843" s="7">
        <v>148.42104474594964</v>
      </c>
      <c r="S843" s="7">
        <v>161.95774436913683</v>
      </c>
      <c r="T843" s="8">
        <v>0.3927827698217165</v>
      </c>
      <c r="U843" s="7">
        <v>160.91937502357055</v>
      </c>
    </row>
    <row r="844" spans="1:21" x14ac:dyDescent="0.3">
      <c r="A844" s="4">
        <v>51561</v>
      </c>
      <c r="B844" s="13">
        <f t="shared" si="23"/>
        <v>96.903258100000002</v>
      </c>
      <c r="C844" s="12">
        <v>27.926340067642862</v>
      </c>
      <c r="D844" s="5">
        <f t="shared" si="24"/>
        <v>3</v>
      </c>
      <c r="Q844" s="4">
        <v>51561</v>
      </c>
      <c r="R844" s="7">
        <v>59.509126900831589</v>
      </c>
      <c r="S844" s="7">
        <v>64.481217718348219</v>
      </c>
      <c r="T844" s="8">
        <v>8.7136283041976875E-2</v>
      </c>
      <c r="U844" s="7">
        <v>64.90587688527593</v>
      </c>
    </row>
    <row r="845" spans="1:21" x14ac:dyDescent="0.3">
      <c r="A845" s="4">
        <v>51592</v>
      </c>
      <c r="B845" s="13">
        <f t="shared" si="23"/>
        <v>58.801873700000002</v>
      </c>
      <c r="C845" s="12">
        <v>44.411822513211455</v>
      </c>
      <c r="D845" s="5">
        <f t="shared" si="24"/>
        <v>4</v>
      </c>
      <c r="Q845" s="4">
        <v>51592</v>
      </c>
      <c r="R845" s="7">
        <v>83.636866306561274</v>
      </c>
      <c r="S845" s="7">
        <v>76.909832194779028</v>
      </c>
      <c r="T845" s="8">
        <v>0.18541570129822174</v>
      </c>
      <c r="U845" s="7">
        <v>77.081932859055769</v>
      </c>
    </row>
    <row r="846" spans="1:21" x14ac:dyDescent="0.3">
      <c r="A846" s="4">
        <v>51622</v>
      </c>
      <c r="B846" s="13">
        <f t="shared" si="23"/>
        <v>203.47559129999999</v>
      </c>
      <c r="C846" s="12">
        <v>105.48929687356569</v>
      </c>
      <c r="D846" s="5">
        <f t="shared" si="24"/>
        <v>5</v>
      </c>
      <c r="Q846" s="4">
        <v>51622</v>
      </c>
      <c r="R846" s="7">
        <v>179.24719323512255</v>
      </c>
      <c r="S846" s="7">
        <v>170.14478682357748</v>
      </c>
      <c r="T846" s="8">
        <v>0.86015956459990328</v>
      </c>
      <c r="U846" s="7">
        <v>170.2617816632125</v>
      </c>
    </row>
    <row r="847" spans="1:21" x14ac:dyDescent="0.3">
      <c r="A847" s="4">
        <v>51653</v>
      </c>
      <c r="B847" s="13">
        <f t="shared" si="23"/>
        <v>231.0730748</v>
      </c>
      <c r="C847" s="12">
        <v>5.2964119167882115</v>
      </c>
      <c r="D847" s="5">
        <f t="shared" si="24"/>
        <v>6</v>
      </c>
      <c r="Q847" s="4">
        <v>51653</v>
      </c>
      <c r="R847" s="7">
        <v>5.3661972107412481</v>
      </c>
      <c r="S847" s="7">
        <v>11.908119875215743</v>
      </c>
      <c r="T847" s="8">
        <v>0.27719329982867402</v>
      </c>
      <c r="U847" s="7">
        <v>14.42313579900938</v>
      </c>
    </row>
    <row r="848" spans="1:21" x14ac:dyDescent="0.3">
      <c r="A848" s="4">
        <v>51683</v>
      </c>
      <c r="B848" s="13">
        <f t="shared" si="23"/>
        <v>250.06472930000001</v>
      </c>
      <c r="C848" s="12">
        <v>3.7613791409540982E-3</v>
      </c>
      <c r="D848" s="5">
        <f t="shared" si="24"/>
        <v>7</v>
      </c>
      <c r="Q848" s="4">
        <v>51683</v>
      </c>
      <c r="R848" s="7">
        <v>1.3611253284262241E-2</v>
      </c>
      <c r="S848" s="7">
        <v>0.12213676481623983</v>
      </c>
      <c r="T848" s="8">
        <v>6.2326399113167121E-3</v>
      </c>
      <c r="U848" s="7">
        <v>0.48148618001194082</v>
      </c>
    </row>
    <row r="849" spans="1:21" x14ac:dyDescent="0.3">
      <c r="A849" s="4">
        <v>51714</v>
      </c>
      <c r="B849" s="13">
        <f t="shared" si="23"/>
        <v>177.1992899</v>
      </c>
      <c r="C849" s="12">
        <v>1.8246008141431951</v>
      </c>
      <c r="D849" s="5">
        <f t="shared" si="24"/>
        <v>8</v>
      </c>
      <c r="Q849" s="4">
        <v>51714</v>
      </c>
      <c r="R849" s="7">
        <v>9.9236775689769701</v>
      </c>
      <c r="S849" s="7">
        <v>32.984336356584386</v>
      </c>
      <c r="T849" s="8">
        <v>0.40316084495914706</v>
      </c>
      <c r="U849" s="7">
        <v>22.201759535847568</v>
      </c>
    </row>
    <row r="850" spans="1:21" x14ac:dyDescent="0.3">
      <c r="A850" s="4">
        <v>51745</v>
      </c>
      <c r="B850" s="13">
        <f t="shared" si="23"/>
        <v>138.8733671</v>
      </c>
      <c r="C850" s="12">
        <v>1.1885688327311079</v>
      </c>
      <c r="D850" s="5">
        <f t="shared" si="24"/>
        <v>9</v>
      </c>
      <c r="Q850" s="4">
        <v>51745</v>
      </c>
      <c r="R850" s="7">
        <v>3.9826989462451978</v>
      </c>
      <c r="S850" s="7">
        <v>12.980390519535344</v>
      </c>
      <c r="T850" s="8">
        <v>0.12848247699995427</v>
      </c>
      <c r="U850" s="7">
        <v>15.345125683155901</v>
      </c>
    </row>
    <row r="851" spans="1:21" x14ac:dyDescent="0.3">
      <c r="A851" s="4">
        <v>51775</v>
      </c>
      <c r="B851" s="13">
        <f t="shared" si="23"/>
        <v>185.88511790000001</v>
      </c>
      <c r="C851" s="12">
        <v>8.7121766904601738</v>
      </c>
      <c r="D851" s="5">
        <f t="shared" si="24"/>
        <v>10</v>
      </c>
      <c r="Q851" s="4">
        <v>51775</v>
      </c>
      <c r="R851" s="7">
        <v>21.38332124623642</v>
      </c>
      <c r="S851" s="7">
        <v>56.696193032476764</v>
      </c>
      <c r="T851" s="8">
        <v>8.3626136257949277E-2</v>
      </c>
      <c r="U851" s="7">
        <v>64.525491699239581</v>
      </c>
    </row>
    <row r="852" spans="1:21" x14ac:dyDescent="0.3">
      <c r="A852" s="4">
        <v>51806</v>
      </c>
      <c r="B852" s="13">
        <f t="shared" si="23"/>
        <v>77.669840699999995</v>
      </c>
      <c r="C852" s="12">
        <v>52.447908790782115</v>
      </c>
      <c r="D852" s="5">
        <f t="shared" si="24"/>
        <v>11</v>
      </c>
      <c r="Q852" s="4">
        <v>51806</v>
      </c>
      <c r="R852" s="7">
        <v>113.6716685844416</v>
      </c>
      <c r="S852" s="7">
        <v>151.04742521328711</v>
      </c>
      <c r="T852" s="8">
        <v>0.24116811698262872</v>
      </c>
      <c r="U852" s="7">
        <v>147.87204223236776</v>
      </c>
    </row>
    <row r="853" spans="1:21" x14ac:dyDescent="0.3">
      <c r="A853" s="4">
        <v>51836</v>
      </c>
      <c r="B853" s="13">
        <f t="shared" si="23"/>
        <v>20.655076399999999</v>
      </c>
      <c r="C853" s="12">
        <v>89.943691506050399</v>
      </c>
      <c r="D853" s="5">
        <f t="shared" si="24"/>
        <v>12</v>
      </c>
      <c r="Q853" s="4">
        <v>51836</v>
      </c>
      <c r="R853" s="7">
        <v>189.75734208670463</v>
      </c>
      <c r="S853" s="7">
        <v>199.21842760069745</v>
      </c>
      <c r="T853" s="8">
        <v>0.40652983962689548</v>
      </c>
      <c r="U853" s="7">
        <v>197.10567580361041</v>
      </c>
    </row>
    <row r="854" spans="1:21" x14ac:dyDescent="0.3">
      <c r="A854" s="4">
        <v>51867</v>
      </c>
      <c r="B854" s="13">
        <f t="shared" si="23"/>
        <v>10.198183999999999</v>
      </c>
      <c r="C854" s="12">
        <v>147.00062308693302</v>
      </c>
      <c r="D854" s="5">
        <f t="shared" si="24"/>
        <v>1</v>
      </c>
      <c r="Q854" s="4">
        <v>51867</v>
      </c>
      <c r="R854" s="7">
        <v>202.12990104100302</v>
      </c>
      <c r="S854" s="7">
        <v>207.90528035038375</v>
      </c>
      <c r="T854" s="8">
        <v>0.7398080396336465</v>
      </c>
      <c r="U854" s="7">
        <v>209.98187257689605</v>
      </c>
    </row>
    <row r="855" spans="1:21" x14ac:dyDescent="0.3">
      <c r="A855" s="4">
        <v>51898</v>
      </c>
      <c r="B855" s="13">
        <f t="shared" si="23"/>
        <v>4.3186388000000004</v>
      </c>
      <c r="C855" s="12">
        <v>117.26981755346067</v>
      </c>
      <c r="D855" s="5">
        <f t="shared" si="24"/>
        <v>2</v>
      </c>
      <c r="Q855" s="4">
        <v>51898</v>
      </c>
      <c r="R855" s="7">
        <v>229.17103881506952</v>
      </c>
      <c r="S855" s="7">
        <v>226.73715932110835</v>
      </c>
      <c r="T855" s="8">
        <v>0.68627669977641759</v>
      </c>
      <c r="U855" s="7">
        <v>225.12013724617489</v>
      </c>
    </row>
    <row r="856" spans="1:21" x14ac:dyDescent="0.3">
      <c r="A856" s="4">
        <v>51926</v>
      </c>
      <c r="B856" s="13">
        <f t="shared" si="23"/>
        <v>167.88822149999999</v>
      </c>
      <c r="C856" s="12">
        <v>37.991117595811488</v>
      </c>
      <c r="D856" s="5">
        <f t="shared" si="24"/>
        <v>3</v>
      </c>
      <c r="Q856" s="4">
        <v>51926</v>
      </c>
      <c r="R856" s="7">
        <v>80.956481681360103</v>
      </c>
      <c r="S856" s="7">
        <v>85.677616691892482</v>
      </c>
      <c r="T856" s="8">
        <v>0.18475046038316947</v>
      </c>
      <c r="U856" s="7">
        <v>85.794701484839607</v>
      </c>
    </row>
    <row r="857" spans="1:21" x14ac:dyDescent="0.3">
      <c r="A857" s="4">
        <v>51957</v>
      </c>
      <c r="B857" s="13">
        <f t="shared" si="23"/>
        <v>93.682577600000002</v>
      </c>
      <c r="C857" s="12">
        <v>119.1305208485573</v>
      </c>
      <c r="D857" s="5">
        <f t="shared" si="24"/>
        <v>4</v>
      </c>
      <c r="Q857" s="4">
        <v>51957</v>
      </c>
      <c r="R857" s="7">
        <v>224.34799747922602</v>
      </c>
      <c r="S857" s="7">
        <v>234.81773800288758</v>
      </c>
      <c r="T857" s="8">
        <v>0.89363739765091821</v>
      </c>
      <c r="U857" s="7">
        <v>234.3660813083269</v>
      </c>
    </row>
    <row r="858" spans="1:21" x14ac:dyDescent="0.3">
      <c r="A858" s="4">
        <v>51987</v>
      </c>
      <c r="B858" s="13">
        <f t="shared" si="23"/>
        <v>92.523060000000001</v>
      </c>
      <c r="C858" s="12">
        <v>10.856481784139758</v>
      </c>
      <c r="D858" s="5">
        <f t="shared" si="24"/>
        <v>5</v>
      </c>
      <c r="Q858" s="4">
        <v>51987</v>
      </c>
      <c r="R858" s="7">
        <v>18.447311204924045</v>
      </c>
      <c r="S858" s="7">
        <v>24.812726185700733</v>
      </c>
      <c r="T858" s="8">
        <v>3.6451509023126522E-2</v>
      </c>
      <c r="U858" s="7">
        <v>25.3753849471519</v>
      </c>
    </row>
    <row r="859" spans="1:21" x14ac:dyDescent="0.3">
      <c r="A859" s="4">
        <v>52018</v>
      </c>
      <c r="B859" s="13">
        <f t="shared" si="23"/>
        <v>261.52475820000001</v>
      </c>
      <c r="C859" s="12">
        <v>0.29762284361822755</v>
      </c>
      <c r="D859" s="5">
        <f t="shared" si="24"/>
        <v>6</v>
      </c>
      <c r="Q859" s="4">
        <v>52018</v>
      </c>
      <c r="R859" s="7">
        <v>0.30154430931148341</v>
      </c>
      <c r="S859" s="7">
        <v>1.982910262607033</v>
      </c>
      <c r="T859" s="8">
        <v>5.027291272162196E-2</v>
      </c>
      <c r="U859" s="7">
        <v>4.3049836193711259</v>
      </c>
    </row>
    <row r="860" spans="1:21" x14ac:dyDescent="0.3">
      <c r="A860" s="4">
        <v>52048</v>
      </c>
      <c r="B860" s="13">
        <f t="shared" si="23"/>
        <v>324.18182860000002</v>
      </c>
      <c r="C860" s="12">
        <v>1.1486679253721384</v>
      </c>
      <c r="D860" s="5">
        <f t="shared" si="24"/>
        <v>7</v>
      </c>
      <c r="Q860" s="4">
        <v>52048</v>
      </c>
      <c r="R860" s="7">
        <v>4.1566695315331446</v>
      </c>
      <c r="S860" s="7">
        <v>7.7071380161626051</v>
      </c>
      <c r="T860" s="8">
        <v>0.24554609192108254</v>
      </c>
      <c r="U860" s="7">
        <v>9.3960943077766998</v>
      </c>
    </row>
    <row r="861" spans="1:21" x14ac:dyDescent="0.3">
      <c r="A861" s="4">
        <v>52079</v>
      </c>
      <c r="B861" s="13">
        <f t="shared" si="23"/>
        <v>308.90201089999999</v>
      </c>
      <c r="C861" s="12">
        <v>31.227935579954718</v>
      </c>
      <c r="D861" s="5">
        <f t="shared" si="24"/>
        <v>8</v>
      </c>
      <c r="Q861" s="4">
        <v>52079</v>
      </c>
      <c r="R861" s="7">
        <v>169.84315771325407</v>
      </c>
      <c r="S861" s="7">
        <v>73.998385426612757</v>
      </c>
      <c r="T861" s="8">
        <v>0.97944715447615116</v>
      </c>
      <c r="U861" s="7">
        <v>97.279758961499411</v>
      </c>
    </row>
    <row r="862" spans="1:21" x14ac:dyDescent="0.3">
      <c r="A862" s="4">
        <v>52110</v>
      </c>
      <c r="B862" s="13">
        <f t="shared" si="23"/>
        <v>113.0208131</v>
      </c>
      <c r="C862" s="12">
        <v>64.181380905210872</v>
      </c>
      <c r="D862" s="5">
        <f t="shared" si="24"/>
        <v>9</v>
      </c>
      <c r="Q862" s="4">
        <v>52110</v>
      </c>
      <c r="R862" s="7">
        <v>215.06126617201417</v>
      </c>
      <c r="S862" s="7">
        <v>153.38831070591229</v>
      </c>
      <c r="T862" s="8">
        <v>0.95788501895507183</v>
      </c>
      <c r="U862" s="7">
        <v>156.44613239667254</v>
      </c>
    </row>
    <row r="863" spans="1:21" x14ac:dyDescent="0.3">
      <c r="A863" s="4">
        <v>52140</v>
      </c>
      <c r="B863" s="13">
        <f t="shared" si="23"/>
        <v>246.16427759999999</v>
      </c>
      <c r="C863" s="12">
        <v>52.135728736175253</v>
      </c>
      <c r="D863" s="5">
        <f t="shared" si="24"/>
        <v>10</v>
      </c>
      <c r="Q863" s="4">
        <v>52140</v>
      </c>
      <c r="R863" s="7">
        <v>127.96285883331755</v>
      </c>
      <c r="S863" s="7">
        <v>158.85173776304308</v>
      </c>
      <c r="T863" s="8">
        <v>0.50266875000732614</v>
      </c>
      <c r="U863" s="7">
        <v>155.58709746574826</v>
      </c>
    </row>
    <row r="864" spans="1:21" x14ac:dyDescent="0.3">
      <c r="A864" s="4">
        <v>52171</v>
      </c>
      <c r="B864" s="13">
        <f t="shared" si="23"/>
        <v>211.8117077</v>
      </c>
      <c r="C864" s="12">
        <v>88.506196159869418</v>
      </c>
      <c r="D864" s="5">
        <f t="shared" si="24"/>
        <v>11</v>
      </c>
      <c r="Q864" s="4">
        <v>52171</v>
      </c>
      <c r="R864" s="7">
        <v>191.82169946349597</v>
      </c>
      <c r="S864" s="7">
        <v>206.77655490263646</v>
      </c>
      <c r="T864" s="8">
        <v>0.5309989321228672</v>
      </c>
      <c r="U864" s="7">
        <v>202.8263323409179</v>
      </c>
    </row>
    <row r="865" spans="1:21" x14ac:dyDescent="0.3">
      <c r="A865" s="4">
        <v>52201</v>
      </c>
      <c r="B865" s="13">
        <f t="shared" si="23"/>
        <v>31.2156746</v>
      </c>
      <c r="C865" s="12">
        <v>48.277061147382405</v>
      </c>
      <c r="D865" s="5">
        <f t="shared" si="24"/>
        <v>12</v>
      </c>
      <c r="Q865" s="4">
        <v>52201</v>
      </c>
      <c r="R865" s="7">
        <v>101.85179920559916</v>
      </c>
      <c r="S865" s="7">
        <v>118.05103556046971</v>
      </c>
      <c r="T865" s="8">
        <v>9.2804336738454354E-2</v>
      </c>
      <c r="U865" s="7">
        <v>116.7610598495706</v>
      </c>
    </row>
    <row r="866" spans="1:21" x14ac:dyDescent="0.3">
      <c r="A866" s="4">
        <v>52232</v>
      </c>
      <c r="B866" s="13">
        <f t="shared" si="23"/>
        <v>64.799835000000002</v>
      </c>
      <c r="C866" s="12">
        <v>197.98114174045611</v>
      </c>
      <c r="D866" s="5">
        <f t="shared" si="24"/>
        <v>1</v>
      </c>
      <c r="Q866" s="4">
        <v>52232</v>
      </c>
      <c r="R866" s="7">
        <v>272.22951677094221</v>
      </c>
      <c r="S866" s="7">
        <v>307.8879272990111</v>
      </c>
      <c r="T866" s="8">
        <v>0.91497491261518027</v>
      </c>
      <c r="U866" s="7">
        <v>306.78285173478542</v>
      </c>
    </row>
    <row r="867" spans="1:21" x14ac:dyDescent="0.3">
      <c r="A867" s="4">
        <v>52263</v>
      </c>
      <c r="B867" s="13">
        <f t="shared" si="23"/>
        <v>23.737748400000001</v>
      </c>
      <c r="C867" s="12">
        <v>33.655620482750244</v>
      </c>
      <c r="D867" s="5">
        <f t="shared" si="24"/>
        <v>2</v>
      </c>
      <c r="Q867" s="4">
        <v>52263</v>
      </c>
      <c r="R867" s="7">
        <v>65.770491238987987</v>
      </c>
      <c r="S867" s="7">
        <v>86.226859178698106</v>
      </c>
      <c r="T867" s="8">
        <v>7.4437669576393584E-2</v>
      </c>
      <c r="U867" s="7">
        <v>88.14342405459476</v>
      </c>
    </row>
    <row r="868" spans="1:21" x14ac:dyDescent="0.3">
      <c r="A868" s="4">
        <v>52291</v>
      </c>
      <c r="B868" s="13">
        <f t="shared" si="23"/>
        <v>30.0098235</v>
      </c>
      <c r="C868" s="12">
        <v>27.452871188870734</v>
      </c>
      <c r="D868" s="5">
        <f t="shared" si="24"/>
        <v>3</v>
      </c>
      <c r="Q868" s="4">
        <v>52291</v>
      </c>
      <c r="R868" s="7">
        <v>58.500196997299724</v>
      </c>
      <c r="S868" s="7">
        <v>63.471030504960048</v>
      </c>
      <c r="T868" s="8">
        <v>8.3323348850382548E-2</v>
      </c>
      <c r="U868" s="7">
        <v>63.911132864471796</v>
      </c>
    </row>
    <row r="869" spans="1:21" x14ac:dyDescent="0.3">
      <c r="A869" s="4">
        <v>52322</v>
      </c>
      <c r="B869" s="13">
        <f t="shared" si="23"/>
        <v>309.46894900000001</v>
      </c>
      <c r="C869" s="12">
        <v>36.874613753752669</v>
      </c>
      <c r="D869" s="5">
        <f t="shared" si="24"/>
        <v>4</v>
      </c>
      <c r="Q869" s="4">
        <v>52322</v>
      </c>
      <c r="R869" s="7">
        <v>69.442706155804757</v>
      </c>
      <c r="S869" s="7">
        <v>62.317951109451343</v>
      </c>
      <c r="T869" s="8">
        <v>0.10966031475694293</v>
      </c>
      <c r="U869" s="7">
        <v>62.194689012421449</v>
      </c>
    </row>
    <row r="870" spans="1:21" x14ac:dyDescent="0.3">
      <c r="A870" s="4">
        <v>52352</v>
      </c>
      <c r="B870" s="13">
        <f t="shared" si="23"/>
        <v>158.10704319999999</v>
      </c>
      <c r="C870" s="12">
        <v>26.750711511704125</v>
      </c>
      <c r="D870" s="5">
        <f t="shared" si="24"/>
        <v>5</v>
      </c>
      <c r="Q870" s="4">
        <v>52352</v>
      </c>
      <c r="R870" s="7">
        <v>45.454753208398827</v>
      </c>
      <c r="S870" s="7">
        <v>53.245871407518962</v>
      </c>
      <c r="T870" s="8">
        <v>0.19051775158419162</v>
      </c>
      <c r="U870" s="7">
        <v>52.841746019497911</v>
      </c>
    </row>
    <row r="871" spans="1:21" x14ac:dyDescent="0.3">
      <c r="A871" s="4">
        <v>52383</v>
      </c>
      <c r="B871" s="13">
        <f t="shared" si="23"/>
        <v>298.53266559999997</v>
      </c>
      <c r="C871" s="12">
        <v>16.969043397693891</v>
      </c>
      <c r="D871" s="5">
        <f t="shared" si="24"/>
        <v>6</v>
      </c>
      <c r="Q871" s="4">
        <v>52383</v>
      </c>
      <c r="R871" s="7">
        <v>17.192626778332457</v>
      </c>
      <c r="S871" s="7">
        <v>24.587520278231693</v>
      </c>
      <c r="T871" s="8">
        <v>0.51602999850540465</v>
      </c>
      <c r="U871" s="7">
        <v>25.508881772216672</v>
      </c>
    </row>
    <row r="872" spans="1:21" x14ac:dyDescent="0.3">
      <c r="A872" s="4">
        <v>52413</v>
      </c>
      <c r="B872" s="13">
        <f t="shared" si="23"/>
        <v>213.84608180000001</v>
      </c>
      <c r="C872" s="12">
        <v>1.1287605533652829</v>
      </c>
      <c r="D872" s="5">
        <f t="shared" si="24"/>
        <v>7</v>
      </c>
      <c r="Q872" s="4">
        <v>52413</v>
      </c>
      <c r="R872" s="7">
        <v>4.0846309859743979</v>
      </c>
      <c r="S872" s="7">
        <v>7.6101450505054222</v>
      </c>
      <c r="T872" s="8">
        <v>0.24294353224683529</v>
      </c>
      <c r="U872" s="7">
        <v>9.3026939326255071</v>
      </c>
    </row>
    <row r="873" spans="1:21" x14ac:dyDescent="0.3">
      <c r="A873" s="4">
        <v>52444</v>
      </c>
      <c r="B873" s="13">
        <f t="shared" si="23"/>
        <v>110.5005215</v>
      </c>
      <c r="C873" s="12">
        <v>3.7570998738374275</v>
      </c>
      <c r="D873" s="5">
        <f t="shared" si="24"/>
        <v>8</v>
      </c>
      <c r="Q873" s="4">
        <v>52444</v>
      </c>
      <c r="R873" s="7">
        <v>20.434194402086138</v>
      </c>
      <c r="S873" s="7">
        <v>40.509415603750462</v>
      </c>
      <c r="T873" s="8">
        <v>0.56075973478670926</v>
      </c>
      <c r="U873" s="7">
        <v>30.491426282914478</v>
      </c>
    </row>
    <row r="874" spans="1:21" x14ac:dyDescent="0.3">
      <c r="A874" s="4">
        <v>52475</v>
      </c>
      <c r="B874" s="13">
        <f t="shared" si="23"/>
        <v>241.72456159999999</v>
      </c>
      <c r="C874" s="12">
        <v>5.0907378899864817</v>
      </c>
      <c r="D874" s="5">
        <f t="shared" si="24"/>
        <v>9</v>
      </c>
      <c r="Q874" s="4">
        <v>52475</v>
      </c>
      <c r="R874" s="7">
        <v>17.058226559308142</v>
      </c>
      <c r="S874" s="7">
        <v>31.944987397972248</v>
      </c>
      <c r="T874" s="8">
        <v>0.33244607580405738</v>
      </c>
      <c r="U874" s="7">
        <v>32.263631294231359</v>
      </c>
    </row>
    <row r="875" spans="1:21" x14ac:dyDescent="0.3">
      <c r="A875" s="4">
        <v>52505</v>
      </c>
      <c r="B875" s="13">
        <f t="shared" si="23"/>
        <v>97.134250300000005</v>
      </c>
      <c r="C875" s="12">
        <v>4.0855301762348892</v>
      </c>
      <c r="D875" s="5">
        <f t="shared" si="24"/>
        <v>10</v>
      </c>
      <c r="Q875" s="4">
        <v>52505</v>
      </c>
      <c r="R875" s="7">
        <v>10.027597846504316</v>
      </c>
      <c r="S875" s="7">
        <v>36.658136638788392</v>
      </c>
      <c r="T875" s="8">
        <v>3.473285367494823E-2</v>
      </c>
      <c r="U875" s="7">
        <v>46.459910127977608</v>
      </c>
    </row>
    <row r="876" spans="1:21" x14ac:dyDescent="0.3">
      <c r="A876" s="4">
        <v>52536</v>
      </c>
      <c r="B876" s="13">
        <f t="shared" si="23"/>
        <v>130.82885669999999</v>
      </c>
      <c r="C876" s="12">
        <v>94.449727213941415</v>
      </c>
      <c r="D876" s="5">
        <f t="shared" si="24"/>
        <v>11</v>
      </c>
      <c r="Q876" s="4">
        <v>52536</v>
      </c>
      <c r="R876" s="7">
        <v>204.70326343385105</v>
      </c>
      <c r="S876" s="7">
        <v>215.00203282688227</v>
      </c>
      <c r="T876" s="8">
        <v>0.57304644915016956</v>
      </c>
      <c r="U876" s="7">
        <v>211.24074664904239</v>
      </c>
    </row>
    <row r="877" spans="1:21" x14ac:dyDescent="0.3">
      <c r="A877" s="4">
        <v>52566</v>
      </c>
      <c r="B877" s="13">
        <f t="shared" si="23"/>
        <v>26.610938699999998</v>
      </c>
      <c r="C877" s="12">
        <v>43.82957078050817</v>
      </c>
      <c r="D877" s="5">
        <f t="shared" si="24"/>
        <v>12</v>
      </c>
      <c r="Q877" s="4">
        <v>52566</v>
      </c>
      <c r="R877" s="7">
        <v>92.46877370550051</v>
      </c>
      <c r="S877" s="7">
        <v>108.83549596808831</v>
      </c>
      <c r="T877" s="8">
        <v>7.0064423903302059E-2</v>
      </c>
      <c r="U877" s="7">
        <v>107.77471612396972</v>
      </c>
    </row>
    <row r="878" spans="1:21" x14ac:dyDescent="0.3">
      <c r="A878" s="4">
        <v>52597</v>
      </c>
      <c r="B878" s="13">
        <f t="shared" si="23"/>
        <v>1.63548</v>
      </c>
      <c r="C878" s="12">
        <v>20.253963532741171</v>
      </c>
      <c r="D878" s="5">
        <f t="shared" si="24"/>
        <v>1</v>
      </c>
      <c r="Q878" s="4">
        <v>52597</v>
      </c>
      <c r="R878" s="7">
        <v>27.849757086675705</v>
      </c>
      <c r="S878" s="7">
        <v>15.227523640473622</v>
      </c>
      <c r="T878" s="8">
        <v>2.5555628154051951E-3</v>
      </c>
      <c r="U878" s="7">
        <v>12.375478655919741</v>
      </c>
    </row>
    <row r="879" spans="1:21" x14ac:dyDescent="0.3">
      <c r="A879" s="4">
        <v>52628</v>
      </c>
      <c r="B879" s="13">
        <f t="shared" si="23"/>
        <v>18.916799699999999</v>
      </c>
      <c r="C879" s="12">
        <v>76.098868221743103</v>
      </c>
      <c r="D879" s="5">
        <f t="shared" si="24"/>
        <v>2</v>
      </c>
      <c r="Q879" s="4">
        <v>52628</v>
      </c>
      <c r="R879" s="7">
        <v>148.71394061031606</v>
      </c>
      <c r="S879" s="7">
        <v>162.20522765954235</v>
      </c>
      <c r="T879" s="8">
        <v>0.39401390537531827</v>
      </c>
      <c r="U879" s="7">
        <v>161.16089479500957</v>
      </c>
    </row>
    <row r="880" spans="1:21" x14ac:dyDescent="0.3">
      <c r="A880" s="4">
        <v>52657</v>
      </c>
      <c r="B880" s="13">
        <f t="shared" si="23"/>
        <v>25.931323899999999</v>
      </c>
      <c r="C880" s="12">
        <v>44.047996314475341</v>
      </c>
      <c r="D880" s="5">
        <f t="shared" si="24"/>
        <v>3</v>
      </c>
      <c r="Q880" s="4">
        <v>52657</v>
      </c>
      <c r="R880" s="7">
        <v>93.863277323712836</v>
      </c>
      <c r="S880" s="7">
        <v>98.218388862803124</v>
      </c>
      <c r="T880" s="8">
        <v>0.25447963662385037</v>
      </c>
      <c r="U880" s="7">
        <v>98.177209764615569</v>
      </c>
    </row>
    <row r="881" spans="1:21" x14ac:dyDescent="0.3">
      <c r="A881" s="4">
        <v>52688</v>
      </c>
      <c r="B881" s="13">
        <f t="shared" si="23"/>
        <v>325.60627670000002</v>
      </c>
      <c r="C881" s="12">
        <v>31.1250881350133</v>
      </c>
      <c r="D881" s="5">
        <f t="shared" si="24"/>
        <v>4</v>
      </c>
      <c r="Q881" s="4">
        <v>52688</v>
      </c>
      <c r="R881" s="7">
        <v>58.615131913437075</v>
      </c>
      <c r="S881" s="7">
        <v>51.444312164731436</v>
      </c>
      <c r="T881" s="8">
        <v>6.4656115275417009E-2</v>
      </c>
      <c r="U881" s="7">
        <v>51.077172263407647</v>
      </c>
    </row>
    <row r="882" spans="1:21" x14ac:dyDescent="0.3">
      <c r="A882" s="4">
        <v>52718</v>
      </c>
      <c r="B882" s="13">
        <f t="shared" si="23"/>
        <v>202.01087469999999</v>
      </c>
      <c r="C882" s="12">
        <v>54.892972914967608</v>
      </c>
      <c r="D882" s="5">
        <f t="shared" si="24"/>
        <v>5</v>
      </c>
      <c r="Q882" s="4">
        <v>52718</v>
      </c>
      <c r="R882" s="7">
        <v>93.274025090266591</v>
      </c>
      <c r="S882" s="7">
        <v>97.861891052242726</v>
      </c>
      <c r="T882" s="8">
        <v>0.51627316925621713</v>
      </c>
      <c r="U882" s="7">
        <v>96.667727251965687</v>
      </c>
    </row>
    <row r="883" spans="1:21" x14ac:dyDescent="0.3">
      <c r="A883" s="4">
        <v>52749</v>
      </c>
      <c r="B883" s="13">
        <f t="shared" si="23"/>
        <v>350.08974749999999</v>
      </c>
      <c r="C883" s="12">
        <v>12.031876642140572</v>
      </c>
      <c r="D883" s="5">
        <f t="shared" si="24"/>
        <v>6</v>
      </c>
      <c r="Q883" s="4">
        <v>52749</v>
      </c>
      <c r="R883" s="7">
        <v>12.19040812750654</v>
      </c>
      <c r="S883" s="7">
        <v>19.848807652706952</v>
      </c>
      <c r="T883" s="8">
        <v>0.43390073134540375</v>
      </c>
      <c r="U883" s="7">
        <v>21.394832115168903</v>
      </c>
    </row>
    <row r="884" spans="1:21" x14ac:dyDescent="0.3">
      <c r="A884" s="4">
        <v>52779</v>
      </c>
      <c r="B884" s="13">
        <f t="shared" si="23"/>
        <v>257.61639930000001</v>
      </c>
      <c r="C884" s="12">
        <v>0.28872005857465494</v>
      </c>
      <c r="D884" s="5">
        <f t="shared" si="24"/>
        <v>7</v>
      </c>
      <c r="Q884" s="4">
        <v>52779</v>
      </c>
      <c r="R884" s="7">
        <v>1.0447874830586286</v>
      </c>
      <c r="S884" s="7">
        <v>2.8343412254955949</v>
      </c>
      <c r="T884" s="8">
        <v>0.10326550139824127</v>
      </c>
      <c r="U884" s="7">
        <v>4.3912247606123609</v>
      </c>
    </row>
    <row r="885" spans="1:21" x14ac:dyDescent="0.3">
      <c r="A885" s="4">
        <v>52810</v>
      </c>
      <c r="B885" s="13">
        <f t="shared" si="23"/>
        <v>229.90035789999999</v>
      </c>
      <c r="C885" s="12">
        <v>7.5655513693817435E-4</v>
      </c>
      <c r="D885" s="5">
        <f t="shared" si="24"/>
        <v>8</v>
      </c>
      <c r="Q885" s="4">
        <v>52810</v>
      </c>
      <c r="R885" s="7">
        <v>4.1147681092388502E-3</v>
      </c>
      <c r="S885" s="7">
        <v>3.5973526695647311</v>
      </c>
      <c r="T885" s="8">
        <v>6.629667709905235E-3</v>
      </c>
      <c r="U885" s="7">
        <v>1.6925254903989939</v>
      </c>
    </row>
    <row r="886" spans="1:21" x14ac:dyDescent="0.3">
      <c r="A886" s="4">
        <v>52841</v>
      </c>
      <c r="B886" s="13">
        <f t="shared" si="23"/>
        <v>57.142262500000001</v>
      </c>
      <c r="C886" s="12">
        <v>1.8713687004492383</v>
      </c>
      <c r="D886" s="5">
        <f t="shared" si="24"/>
        <v>9</v>
      </c>
      <c r="Q886" s="4">
        <v>52841</v>
      </c>
      <c r="R886" s="7">
        <v>6.2706491589465685</v>
      </c>
      <c r="S886" s="7">
        <v>17.192235802666065</v>
      </c>
      <c r="T886" s="8">
        <v>0.17428875008886427</v>
      </c>
      <c r="U886" s="7">
        <v>19.19263090702621</v>
      </c>
    </row>
    <row r="887" spans="1:21" x14ac:dyDescent="0.3">
      <c r="A887" s="4">
        <v>52871</v>
      </c>
      <c r="B887" s="13">
        <f t="shared" si="23"/>
        <v>152.03965389999999</v>
      </c>
      <c r="C887" s="12">
        <v>56.580130266957127</v>
      </c>
      <c r="D887" s="5">
        <f t="shared" si="24"/>
        <v>10</v>
      </c>
      <c r="Q887" s="4">
        <v>52871</v>
      </c>
      <c r="R887" s="7">
        <v>138.87127690799207</v>
      </c>
      <c r="S887" s="7">
        <v>166.51407251359237</v>
      </c>
      <c r="T887" s="8">
        <v>0.53519344772790189</v>
      </c>
      <c r="U887" s="7">
        <v>162.74330329850761</v>
      </c>
    </row>
    <row r="888" spans="1:21" x14ac:dyDescent="0.3">
      <c r="A888" s="4">
        <v>52902</v>
      </c>
      <c r="B888" s="13">
        <f t="shared" si="23"/>
        <v>113.5210194</v>
      </c>
      <c r="C888" s="12">
        <v>28.767715586582142</v>
      </c>
      <c r="D888" s="5">
        <f t="shared" si="24"/>
        <v>11</v>
      </c>
      <c r="Q888" s="4">
        <v>52902</v>
      </c>
      <c r="R888" s="7">
        <v>62.348991742148669</v>
      </c>
      <c r="S888" s="7">
        <v>105.33506514198957</v>
      </c>
      <c r="T888" s="8">
        <v>7.2019150717853572E-2</v>
      </c>
      <c r="U888" s="7">
        <v>105.20990093022193</v>
      </c>
    </row>
    <row r="889" spans="1:21" x14ac:dyDescent="0.3">
      <c r="A889" s="4">
        <v>52932</v>
      </c>
      <c r="B889" s="13">
        <f t="shared" si="23"/>
        <v>20.604611500000001</v>
      </c>
      <c r="C889" s="12">
        <v>46.624441270250713</v>
      </c>
      <c r="D889" s="5">
        <f t="shared" si="24"/>
        <v>12</v>
      </c>
      <c r="Q889" s="4">
        <v>52932</v>
      </c>
      <c r="R889" s="7">
        <v>98.365209428004022</v>
      </c>
      <c r="S889" s="7">
        <v>114.64313195145922</v>
      </c>
      <c r="T889" s="8">
        <v>8.3977070105280729E-2</v>
      </c>
      <c r="U889" s="7">
        <v>113.43497974640412</v>
      </c>
    </row>
    <row r="890" spans="1:21" x14ac:dyDescent="0.3">
      <c r="A890" s="4">
        <v>52963</v>
      </c>
      <c r="B890" s="13">
        <f t="shared" si="23"/>
        <v>4.1861344999999996</v>
      </c>
      <c r="C890" s="12">
        <v>36.298949411138928</v>
      </c>
      <c r="D890" s="5">
        <f t="shared" si="24"/>
        <v>1</v>
      </c>
      <c r="Q890" s="4">
        <v>52963</v>
      </c>
      <c r="R890" s="7">
        <v>49.912054100797121</v>
      </c>
      <c r="S890" s="7">
        <v>32.869452909377472</v>
      </c>
      <c r="T890" s="8">
        <v>2.3963801753216871E-2</v>
      </c>
      <c r="U890" s="7">
        <v>30.052039440094706</v>
      </c>
    </row>
    <row r="891" spans="1:21" x14ac:dyDescent="0.3">
      <c r="A891" s="4">
        <v>52994</v>
      </c>
      <c r="B891" s="13">
        <f t="shared" si="23"/>
        <v>57.942728199999998</v>
      </c>
      <c r="C891" s="12">
        <v>54.575923550874087</v>
      </c>
      <c r="D891" s="5">
        <f t="shared" si="24"/>
        <v>2</v>
      </c>
      <c r="Q891" s="4">
        <v>52994</v>
      </c>
      <c r="R891" s="7">
        <v>106.65336874719594</v>
      </c>
      <c r="S891" s="7">
        <v>125.38465266182065</v>
      </c>
      <c r="T891" s="8">
        <v>0.21714832719815916</v>
      </c>
      <c r="U891" s="7">
        <v>125.51826635313907</v>
      </c>
    </row>
    <row r="892" spans="1:21" x14ac:dyDescent="0.3">
      <c r="A892" s="4">
        <v>53022</v>
      </c>
      <c r="B892" s="13">
        <f t="shared" si="23"/>
        <v>39.955255299999997</v>
      </c>
      <c r="C892" s="12">
        <v>18.556874647038054</v>
      </c>
      <c r="D892" s="5">
        <f t="shared" si="24"/>
        <v>3</v>
      </c>
      <c r="Q892" s="4">
        <v>53022</v>
      </c>
      <c r="R892" s="7">
        <v>39.543434820981943</v>
      </c>
      <c r="S892" s="7">
        <v>44.209388796984634</v>
      </c>
      <c r="T892" s="8">
        <v>2.7858720724931629E-2</v>
      </c>
      <c r="U892" s="7">
        <v>44.939545480502055</v>
      </c>
    </row>
    <row r="893" spans="1:21" x14ac:dyDescent="0.3">
      <c r="A893" s="4">
        <v>53053</v>
      </c>
      <c r="B893" s="13">
        <f t="shared" si="23"/>
        <v>102.8811611</v>
      </c>
      <c r="C893" s="12">
        <v>82.226385246031057</v>
      </c>
      <c r="D893" s="5">
        <f t="shared" si="24"/>
        <v>4</v>
      </c>
      <c r="Q893" s="4">
        <v>53053</v>
      </c>
      <c r="R893" s="7">
        <v>154.84969543072259</v>
      </c>
      <c r="S893" s="7">
        <v>154.38086997194358</v>
      </c>
      <c r="T893" s="8">
        <v>0.6398185688489979</v>
      </c>
      <c r="U893" s="7">
        <v>155.13654662585353</v>
      </c>
    </row>
    <row r="894" spans="1:21" x14ac:dyDescent="0.3">
      <c r="A894" s="4">
        <v>53083</v>
      </c>
      <c r="B894" s="13">
        <f t="shared" si="23"/>
        <v>98.114915199999999</v>
      </c>
      <c r="C894" s="12">
        <v>0.9627585269299731</v>
      </c>
      <c r="D894" s="5">
        <f t="shared" si="24"/>
        <v>5</v>
      </c>
      <c r="Q894" s="4">
        <v>53083</v>
      </c>
      <c r="R894" s="7">
        <v>1.6359172809940605</v>
      </c>
      <c r="S894" s="7">
        <v>3.1899827598013015</v>
      </c>
      <c r="T894" s="8">
        <v>1.9839221071786387E-4</v>
      </c>
      <c r="U894" s="7">
        <v>3.8524604194254084</v>
      </c>
    </row>
    <row r="895" spans="1:21" x14ac:dyDescent="0.3">
      <c r="A895" s="4">
        <v>53114</v>
      </c>
      <c r="B895" s="13">
        <f t="shared" si="23"/>
        <v>449.20146499999998</v>
      </c>
      <c r="C895" s="12">
        <v>2.4623938497825288</v>
      </c>
      <c r="D895" s="5">
        <f t="shared" si="24"/>
        <v>6</v>
      </c>
      <c r="Q895" s="4">
        <v>53114</v>
      </c>
      <c r="R895" s="7">
        <v>2.4948382444661332</v>
      </c>
      <c r="S895" s="7">
        <v>7.3913951050467226</v>
      </c>
      <c r="T895" s="8">
        <v>0.17798928807426115</v>
      </c>
      <c r="U895" s="7">
        <v>10.238616303430694</v>
      </c>
    </row>
    <row r="896" spans="1:21" x14ac:dyDescent="0.3">
      <c r="A896" s="4">
        <v>53144</v>
      </c>
      <c r="B896" s="13">
        <f t="shared" ref="B896:B959" si="25">B515</f>
        <v>64.802030999999999</v>
      </c>
      <c r="C896" s="12">
        <v>1.9828243942754406E-3</v>
      </c>
      <c r="D896" s="5">
        <f t="shared" si="24"/>
        <v>7</v>
      </c>
      <c r="Q896" s="4">
        <v>53144</v>
      </c>
      <c r="R896" s="7">
        <v>7.1752205872686941E-3</v>
      </c>
      <c r="S896" s="7">
        <v>7.680952374476592E-2</v>
      </c>
      <c r="T896" s="8">
        <v>4.1134165328485387E-3</v>
      </c>
      <c r="U896" s="7">
        <v>0.3504857295660091</v>
      </c>
    </row>
    <row r="897" spans="1:21" x14ac:dyDescent="0.3">
      <c r="A897" s="4">
        <v>53175</v>
      </c>
      <c r="B897" s="13">
        <f t="shared" si="25"/>
        <v>162.68020329999999</v>
      </c>
      <c r="C897" s="12">
        <v>4.1577321195518491E-2</v>
      </c>
      <c r="D897" s="5">
        <f t="shared" si="24"/>
        <v>8</v>
      </c>
      <c r="Q897" s="4">
        <v>53175</v>
      </c>
      <c r="R897" s="7">
        <v>0.22613161548975208</v>
      </c>
      <c r="S897" s="7">
        <v>11.24720516056308</v>
      </c>
      <c r="T897" s="8">
        <v>5.6372423138251145E-2</v>
      </c>
      <c r="U897" s="7">
        <v>5.7378339191508108</v>
      </c>
    </row>
    <row r="898" spans="1:21" x14ac:dyDescent="0.3">
      <c r="A898" s="4">
        <v>53206</v>
      </c>
      <c r="B898" s="13">
        <f t="shared" si="25"/>
        <v>230.97176329999999</v>
      </c>
      <c r="C898" s="12">
        <v>26.302467944333348</v>
      </c>
      <c r="D898" s="5">
        <f t="shared" si="24"/>
        <v>9</v>
      </c>
      <c r="Q898" s="4">
        <v>53206</v>
      </c>
      <c r="R898" s="7">
        <v>88.135250126690295</v>
      </c>
      <c r="S898" s="7">
        <v>88.29751408061658</v>
      </c>
      <c r="T898" s="8">
        <v>0.77312202744228864</v>
      </c>
      <c r="U898" s="7">
        <v>84.956220118001696</v>
      </c>
    </row>
    <row r="899" spans="1:21" x14ac:dyDescent="0.3">
      <c r="A899" s="4">
        <v>53236</v>
      </c>
      <c r="B899" s="13">
        <f t="shared" si="25"/>
        <v>83.452341099999998</v>
      </c>
      <c r="C899" s="12">
        <v>19.47867176349973</v>
      </c>
      <c r="D899" s="5">
        <f t="shared" ref="D899:D962" si="26">MONTH(A899)</f>
        <v>10</v>
      </c>
      <c r="Q899" s="4">
        <v>53236</v>
      </c>
      <c r="R899" s="7">
        <v>47.808798026903752</v>
      </c>
      <c r="S899" s="7">
        <v>90.110127724078907</v>
      </c>
      <c r="T899" s="8">
        <v>0.20166286544810166</v>
      </c>
      <c r="U899" s="7">
        <v>93.803459564388348</v>
      </c>
    </row>
    <row r="900" spans="1:21" x14ac:dyDescent="0.3">
      <c r="A900" s="4">
        <v>53267</v>
      </c>
      <c r="B900" s="13">
        <f t="shared" si="25"/>
        <v>109.79317899999999</v>
      </c>
      <c r="C900" s="12">
        <v>36.134372785454524</v>
      </c>
      <c r="D900" s="5">
        <f t="shared" si="26"/>
        <v>11</v>
      </c>
      <c r="Q900" s="4">
        <v>53267</v>
      </c>
      <c r="R900" s="7">
        <v>78.314932710849106</v>
      </c>
      <c r="S900" s="7">
        <v>120.7813209501504</v>
      </c>
      <c r="T900" s="8">
        <v>0.11744142142853761</v>
      </c>
      <c r="U900" s="7">
        <v>119.41441312761214</v>
      </c>
    </row>
    <row r="901" spans="1:21" x14ac:dyDescent="0.3">
      <c r="A901" s="4">
        <v>53297</v>
      </c>
      <c r="B901" s="13">
        <f t="shared" si="25"/>
        <v>21.7297835</v>
      </c>
      <c r="C901" s="12">
        <v>73.020957311382574</v>
      </c>
      <c r="D901" s="5">
        <f t="shared" si="26"/>
        <v>12</v>
      </c>
      <c r="Q901" s="4">
        <v>53297</v>
      </c>
      <c r="R901" s="7">
        <v>154.05485970189011</v>
      </c>
      <c r="S901" s="7">
        <v>167.18631407174456</v>
      </c>
      <c r="T901" s="8">
        <v>0.26633872531794456</v>
      </c>
      <c r="U901" s="7">
        <v>165.13189140812077</v>
      </c>
    </row>
    <row r="902" spans="1:21" x14ac:dyDescent="0.3">
      <c r="A902" s="4">
        <v>53328</v>
      </c>
      <c r="B902" s="13">
        <f t="shared" si="25"/>
        <v>13.1836977</v>
      </c>
      <c r="C902" s="12">
        <v>156.54337269952524</v>
      </c>
      <c r="D902" s="5">
        <f t="shared" si="26"/>
        <v>1</v>
      </c>
      <c r="Q902" s="4">
        <v>53328</v>
      </c>
      <c r="R902" s="7">
        <v>215.2514442994397</v>
      </c>
      <c r="S902" s="7">
        <v>225.88596675084361</v>
      </c>
      <c r="T902" s="8">
        <v>0.7853862013112205</v>
      </c>
      <c r="U902" s="7">
        <v>227.71067265933908</v>
      </c>
    </row>
    <row r="903" spans="1:21" x14ac:dyDescent="0.3">
      <c r="A903" s="4">
        <v>53359</v>
      </c>
      <c r="B903" s="13">
        <f t="shared" si="25"/>
        <v>25.683597500000001</v>
      </c>
      <c r="C903" s="12">
        <v>50.226003723219129</v>
      </c>
      <c r="D903" s="5">
        <f t="shared" si="26"/>
        <v>2</v>
      </c>
      <c r="Q903" s="4">
        <v>53359</v>
      </c>
      <c r="R903" s="7">
        <v>98.152667829745454</v>
      </c>
      <c r="S903" s="7">
        <v>117.57260865124501</v>
      </c>
      <c r="T903" s="8">
        <v>0.18348272692990469</v>
      </c>
      <c r="U903" s="7">
        <v>118.02551210461021</v>
      </c>
    </row>
    <row r="904" spans="1:21" x14ac:dyDescent="0.3">
      <c r="A904" s="4">
        <v>53387</v>
      </c>
      <c r="B904" s="13">
        <f t="shared" si="25"/>
        <v>80.812722199999996</v>
      </c>
      <c r="C904" s="12">
        <v>116.48931453237309</v>
      </c>
      <c r="D904" s="5">
        <f t="shared" si="26"/>
        <v>3</v>
      </c>
      <c r="Q904" s="4">
        <v>53387</v>
      </c>
      <c r="R904" s="7">
        <v>248.23078800540404</v>
      </c>
      <c r="S904" s="7">
        <v>241.11042742848582</v>
      </c>
      <c r="T904" s="8">
        <v>0.88735718106546901</v>
      </c>
      <c r="U904" s="7">
        <v>241.14503097421823</v>
      </c>
    </row>
    <row r="905" spans="1:21" x14ac:dyDescent="0.3">
      <c r="A905" s="4">
        <v>53418</v>
      </c>
      <c r="B905" s="13">
        <f t="shared" si="25"/>
        <v>108.18812509999999</v>
      </c>
      <c r="C905" s="12">
        <v>20.111326302867393</v>
      </c>
      <c r="D905" s="5">
        <f t="shared" si="26"/>
        <v>4</v>
      </c>
      <c r="Q905" s="4">
        <v>53418</v>
      </c>
      <c r="R905" s="7">
        <v>37.873886142370772</v>
      </c>
      <c r="S905" s="7">
        <v>31.389314597640805</v>
      </c>
      <c r="T905" s="8">
        <v>1.3887320643584632E-2</v>
      </c>
      <c r="U905" s="7">
        <v>30.579487985634039</v>
      </c>
    </row>
    <row r="906" spans="1:21" x14ac:dyDescent="0.3">
      <c r="A906" s="4">
        <v>53448</v>
      </c>
      <c r="B906" s="13">
        <f t="shared" si="25"/>
        <v>215.6760567</v>
      </c>
      <c r="C906" s="12">
        <v>38.635765970684488</v>
      </c>
      <c r="D906" s="5">
        <f t="shared" si="26"/>
        <v>5</v>
      </c>
      <c r="Q906" s="4">
        <v>53448</v>
      </c>
      <c r="R906" s="7">
        <v>65.64981295718222</v>
      </c>
      <c r="S906" s="7">
        <v>72.688718636308863</v>
      </c>
      <c r="T906" s="8">
        <v>0.33281405410257153</v>
      </c>
      <c r="U906" s="7">
        <v>71.795855498500885</v>
      </c>
    </row>
    <row r="907" spans="1:21" x14ac:dyDescent="0.3">
      <c r="A907" s="4">
        <v>53479</v>
      </c>
      <c r="B907" s="13">
        <f t="shared" si="25"/>
        <v>292.91370449999999</v>
      </c>
      <c r="C907" s="12">
        <v>27.209028921788597</v>
      </c>
      <c r="D907" s="5">
        <f t="shared" si="26"/>
        <v>6</v>
      </c>
      <c r="Q907" s="4">
        <v>53479</v>
      </c>
      <c r="R907" s="7">
        <v>27.567533908053925</v>
      </c>
      <c r="S907" s="7">
        <v>32.991173803638915</v>
      </c>
      <c r="T907" s="8">
        <v>0.64056474896927085</v>
      </c>
      <c r="U907" s="7">
        <v>32.88184377216345</v>
      </c>
    </row>
    <row r="908" spans="1:21" x14ac:dyDescent="0.3">
      <c r="A908" s="4">
        <v>53509</v>
      </c>
      <c r="B908" s="13">
        <f t="shared" si="25"/>
        <v>62.543712800000002</v>
      </c>
      <c r="C908" s="12">
        <v>1.9495511462082504</v>
      </c>
      <c r="D908" s="5">
        <f t="shared" si="26"/>
        <v>7</v>
      </c>
      <c r="Q908" s="4">
        <v>53509</v>
      </c>
      <c r="R908" s="7">
        <v>7.0548151215974677</v>
      </c>
      <c r="S908" s="7">
        <v>11.306262005130757</v>
      </c>
      <c r="T908" s="8">
        <v>0.33671417597126102</v>
      </c>
      <c r="U908" s="7">
        <v>12.784137194135072</v>
      </c>
    </row>
    <row r="909" spans="1:21" x14ac:dyDescent="0.3">
      <c r="A909" s="4">
        <v>53540</v>
      </c>
      <c r="B909" s="13">
        <f t="shared" si="25"/>
        <v>143.03217140000001</v>
      </c>
      <c r="C909" s="12">
        <v>8.9074584866466591</v>
      </c>
      <c r="D909" s="5">
        <f t="shared" si="26"/>
        <v>8</v>
      </c>
      <c r="Q909" s="4">
        <v>53540</v>
      </c>
      <c r="R909" s="7">
        <v>48.446073955106634</v>
      </c>
      <c r="S909" s="7">
        <v>51.787049027468228</v>
      </c>
      <c r="T909" s="8">
        <v>0.77510253621818836</v>
      </c>
      <c r="U909" s="7">
        <v>46.637186217922469</v>
      </c>
    </row>
    <row r="910" spans="1:21" x14ac:dyDescent="0.3">
      <c r="A910" s="4">
        <v>53571</v>
      </c>
      <c r="B910" s="13">
        <f t="shared" si="25"/>
        <v>44.807212999999997</v>
      </c>
      <c r="C910" s="12">
        <v>7.6019915723009035</v>
      </c>
      <c r="D910" s="5">
        <f t="shared" si="26"/>
        <v>9</v>
      </c>
      <c r="Q910" s="4">
        <v>53571</v>
      </c>
      <c r="R910" s="7">
        <v>25.473025196864789</v>
      </c>
      <c r="S910" s="7">
        <v>40.946370813442471</v>
      </c>
      <c r="T910" s="8">
        <v>0.42286140562115487</v>
      </c>
      <c r="U910" s="7">
        <v>40.242101234885141</v>
      </c>
    </row>
    <row r="911" spans="1:21" x14ac:dyDescent="0.3">
      <c r="A911" s="4">
        <v>53601</v>
      </c>
      <c r="B911" s="13">
        <f t="shared" si="25"/>
        <v>32.591151400000001</v>
      </c>
      <c r="C911" s="12">
        <v>65.613324235892023</v>
      </c>
      <c r="D911" s="5">
        <f t="shared" si="26"/>
        <v>10</v>
      </c>
      <c r="Q911" s="4">
        <v>53601</v>
      </c>
      <c r="R911" s="7">
        <v>161.04250866558598</v>
      </c>
      <c r="S911" s="7">
        <v>181.34019438692792</v>
      </c>
      <c r="T911" s="8">
        <v>0.59548916418473297</v>
      </c>
      <c r="U911" s="7">
        <v>176.77487881771691</v>
      </c>
    </row>
    <row r="912" spans="1:21" x14ac:dyDescent="0.3">
      <c r="A912" s="4">
        <v>53632</v>
      </c>
      <c r="B912" s="13">
        <f t="shared" si="25"/>
        <v>41.767181999999998</v>
      </c>
      <c r="C912" s="12">
        <v>123.81757108960302</v>
      </c>
      <c r="D912" s="5">
        <f t="shared" si="26"/>
        <v>11</v>
      </c>
      <c r="Q912" s="4">
        <v>53632</v>
      </c>
      <c r="R912" s="7">
        <v>268.35292827350133</v>
      </c>
      <c r="S912" s="7">
        <v>252.93711028582942</v>
      </c>
      <c r="T912" s="8">
        <v>0.74312708774355529</v>
      </c>
      <c r="U912" s="7">
        <v>251.10006166181896</v>
      </c>
    </row>
    <row r="913" spans="1:21" x14ac:dyDescent="0.3">
      <c r="A913" s="4">
        <v>53662</v>
      </c>
      <c r="B913" s="13">
        <f t="shared" si="25"/>
        <v>97.867575400000007</v>
      </c>
      <c r="C913" s="12">
        <v>22.981335158692673</v>
      </c>
      <c r="D913" s="5">
        <f t="shared" si="26"/>
        <v>12</v>
      </c>
      <c r="Q913" s="4">
        <v>53662</v>
      </c>
      <c r="R913" s="7">
        <v>48.484524087205244</v>
      </c>
      <c r="S913" s="7">
        <v>63.236042522454198</v>
      </c>
      <c r="T913" s="8">
        <v>8.3597173218827852E-3</v>
      </c>
      <c r="U913" s="7">
        <v>63.61006140900254</v>
      </c>
    </row>
    <row r="914" spans="1:21" x14ac:dyDescent="0.3">
      <c r="A914" s="4">
        <v>53693</v>
      </c>
      <c r="B914" s="13">
        <f t="shared" si="25"/>
        <v>66.798116699999994</v>
      </c>
      <c r="C914" s="12">
        <v>74.020444258348974</v>
      </c>
      <c r="D914" s="5">
        <f t="shared" si="26"/>
        <v>1</v>
      </c>
      <c r="Q914" s="4">
        <v>53693</v>
      </c>
      <c r="R914" s="7">
        <v>101.7801473134104</v>
      </c>
      <c r="S914" s="7">
        <v>84.121228364126736</v>
      </c>
      <c r="T914" s="8">
        <v>0.21687906415052158</v>
      </c>
      <c r="U914" s="7">
        <v>83.720322511150826</v>
      </c>
    </row>
    <row r="915" spans="1:21" x14ac:dyDescent="0.3">
      <c r="A915" s="4">
        <v>53724</v>
      </c>
      <c r="B915" s="13">
        <f t="shared" si="25"/>
        <v>27.259584700000001</v>
      </c>
      <c r="C915" s="12">
        <v>106.46846671588719</v>
      </c>
      <c r="D915" s="5">
        <f t="shared" si="26"/>
        <v>2</v>
      </c>
      <c r="Q915" s="4">
        <v>53724</v>
      </c>
      <c r="R915" s="7">
        <v>208.06282151163359</v>
      </c>
      <c r="S915" s="7">
        <v>210.38777442627827</v>
      </c>
      <c r="T915" s="8">
        <v>0.62068695654230566</v>
      </c>
      <c r="U915" s="7">
        <v>208.72713536211845</v>
      </c>
    </row>
    <row r="916" spans="1:21" x14ac:dyDescent="0.3">
      <c r="A916" s="4">
        <v>53752</v>
      </c>
      <c r="B916" s="13">
        <f t="shared" si="25"/>
        <v>40.889925599999998</v>
      </c>
      <c r="C916" s="12">
        <v>85.285385639872402</v>
      </c>
      <c r="D916" s="5">
        <f t="shared" si="26"/>
        <v>3</v>
      </c>
      <c r="Q916" s="4">
        <v>53752</v>
      </c>
      <c r="R916" s="7">
        <v>181.73734275727836</v>
      </c>
      <c r="S916" s="7">
        <v>180.78895795813162</v>
      </c>
      <c r="T916" s="8">
        <v>0.70678334927744935</v>
      </c>
      <c r="U916" s="7">
        <v>180.35315035748391</v>
      </c>
    </row>
    <row r="917" spans="1:21" x14ac:dyDescent="0.3">
      <c r="A917" s="4">
        <v>53783</v>
      </c>
      <c r="B917" s="13">
        <f t="shared" si="25"/>
        <v>140.9795426</v>
      </c>
      <c r="C917" s="12">
        <v>27.712206356227369</v>
      </c>
      <c r="D917" s="5">
        <f t="shared" si="26"/>
        <v>4</v>
      </c>
      <c r="Q917" s="4">
        <v>53783</v>
      </c>
      <c r="R917" s="7">
        <v>52.187952822385242</v>
      </c>
      <c r="S917" s="7">
        <v>45.110741072611354</v>
      </c>
      <c r="T917" s="8">
        <v>4.3946067463428697E-2</v>
      </c>
      <c r="U917" s="7">
        <v>44.597924379029763</v>
      </c>
    </row>
    <row r="918" spans="1:21" x14ac:dyDescent="0.3">
      <c r="A918" s="4">
        <v>53813</v>
      </c>
      <c r="B918" s="13">
        <f t="shared" si="25"/>
        <v>185.0613275</v>
      </c>
      <c r="C918" s="12">
        <v>74.040546052856243</v>
      </c>
      <c r="D918" s="5">
        <f t="shared" si="26"/>
        <v>5</v>
      </c>
      <c r="Q918" s="4">
        <v>53813</v>
      </c>
      <c r="R918" s="7">
        <v>125.80954143126914</v>
      </c>
      <c r="S918" s="7">
        <v>126.08000433869454</v>
      </c>
      <c r="T918" s="8">
        <v>0.68739039689833714</v>
      </c>
      <c r="U918" s="7">
        <v>125.01877749442014</v>
      </c>
    </row>
    <row r="919" spans="1:21" x14ac:dyDescent="0.3">
      <c r="A919" s="4">
        <v>53844</v>
      </c>
      <c r="B919" s="13">
        <f t="shared" si="25"/>
        <v>173.38220820000001</v>
      </c>
      <c r="C919" s="12">
        <v>8.8303968077525443</v>
      </c>
      <c r="D919" s="5">
        <f t="shared" si="26"/>
        <v>6</v>
      </c>
      <c r="Q919" s="4">
        <v>53844</v>
      </c>
      <c r="R919" s="7">
        <v>8.9467457335220217</v>
      </c>
      <c r="S919" s="7">
        <v>16.37103291042558</v>
      </c>
      <c r="T919" s="8">
        <v>0.36815470569458469</v>
      </c>
      <c r="U919" s="7">
        <v>18.367981465012651</v>
      </c>
    </row>
    <row r="920" spans="1:21" x14ac:dyDescent="0.3">
      <c r="A920" s="4">
        <v>53874</v>
      </c>
      <c r="B920" s="13">
        <f t="shared" si="25"/>
        <v>202.8988627</v>
      </c>
      <c r="C920" s="12">
        <v>7.7971867784754012E-2</v>
      </c>
      <c r="D920" s="5">
        <f t="shared" si="26"/>
        <v>7</v>
      </c>
      <c r="Q920" s="4">
        <v>53874</v>
      </c>
      <c r="R920" s="7">
        <v>0.28215577363894512</v>
      </c>
      <c r="S920" s="7">
        <v>1.0979868564193924</v>
      </c>
      <c r="T920" s="8">
        <v>4.4478816205338299E-2</v>
      </c>
      <c r="U920" s="7">
        <v>2.2145457982605063</v>
      </c>
    </row>
    <row r="921" spans="1:21" x14ac:dyDescent="0.3">
      <c r="A921" s="4">
        <v>53905</v>
      </c>
      <c r="B921" s="13">
        <f t="shared" si="25"/>
        <v>247.25546840000001</v>
      </c>
      <c r="C921" s="12">
        <v>4.5916084432974467</v>
      </c>
      <c r="D921" s="5">
        <f t="shared" si="26"/>
        <v>8</v>
      </c>
      <c r="Q921" s="4">
        <v>53905</v>
      </c>
      <c r="R921" s="7">
        <v>24.972937291860781</v>
      </c>
      <c r="S921" s="7">
        <v>42.888487175793337</v>
      </c>
      <c r="T921" s="8">
        <v>0.60974676995457489</v>
      </c>
      <c r="U921" s="7">
        <v>33.490899550798161</v>
      </c>
    </row>
    <row r="922" spans="1:21" x14ac:dyDescent="0.3">
      <c r="A922" s="4">
        <v>53936</v>
      </c>
      <c r="B922" s="13">
        <f t="shared" si="25"/>
        <v>232.18461060000001</v>
      </c>
      <c r="C922" s="12">
        <v>1.3100956894049887</v>
      </c>
      <c r="D922" s="5">
        <f t="shared" si="26"/>
        <v>9</v>
      </c>
      <c r="Q922" s="4">
        <v>53936</v>
      </c>
      <c r="R922" s="7">
        <v>4.3899154832154661</v>
      </c>
      <c r="S922" s="7">
        <v>13.786757169857914</v>
      </c>
      <c r="T922" s="8">
        <v>0.13721930829121151</v>
      </c>
      <c r="U922" s="7">
        <v>16.091075026486148</v>
      </c>
    </row>
    <row r="923" spans="1:21" x14ac:dyDescent="0.3">
      <c r="A923" s="4">
        <v>53966</v>
      </c>
      <c r="B923" s="13">
        <f t="shared" si="25"/>
        <v>238.1788597</v>
      </c>
      <c r="C923" s="12">
        <v>37.01449729269379</v>
      </c>
      <c r="D923" s="5">
        <f t="shared" si="26"/>
        <v>10</v>
      </c>
      <c r="Q923" s="4">
        <v>53966</v>
      </c>
      <c r="R923" s="7">
        <v>90.849039740470786</v>
      </c>
      <c r="S923" s="7">
        <v>130.41481226559623</v>
      </c>
      <c r="T923" s="8">
        <v>0.37687561146018594</v>
      </c>
      <c r="U923" s="7">
        <v>129.55501641159051</v>
      </c>
    </row>
    <row r="924" spans="1:21" x14ac:dyDescent="0.3">
      <c r="A924" s="4">
        <v>53997</v>
      </c>
      <c r="B924" s="13">
        <f t="shared" si="25"/>
        <v>52.807319</v>
      </c>
      <c r="C924" s="12">
        <v>70.309657487086938</v>
      </c>
      <c r="D924" s="5">
        <f t="shared" si="26"/>
        <v>11</v>
      </c>
      <c r="Q924" s="4">
        <v>53997</v>
      </c>
      <c r="R924" s="7">
        <v>152.38388466619679</v>
      </c>
      <c r="S924" s="7">
        <v>180.09770969673031</v>
      </c>
      <c r="T924" s="8">
        <v>0.38924646558004772</v>
      </c>
      <c r="U924" s="7">
        <v>176.08058868330087</v>
      </c>
    </row>
    <row r="925" spans="1:21" x14ac:dyDescent="0.3">
      <c r="A925" s="4">
        <v>54027</v>
      </c>
      <c r="B925" s="13">
        <f t="shared" si="25"/>
        <v>22.506163999999998</v>
      </c>
      <c r="C925" s="12">
        <v>111.58225504914293</v>
      </c>
      <c r="D925" s="5">
        <f t="shared" si="26"/>
        <v>12</v>
      </c>
      <c r="Q925" s="4">
        <v>54027</v>
      </c>
      <c r="R925" s="7">
        <v>235.40897407731839</v>
      </c>
      <c r="S925" s="7">
        <v>238.81763559075131</v>
      </c>
      <c r="T925" s="8">
        <v>0.57632971875803363</v>
      </c>
      <c r="U925" s="7">
        <v>237.11836859010012</v>
      </c>
    </row>
    <row r="926" spans="1:21" x14ac:dyDescent="0.3">
      <c r="A926" s="4">
        <v>54058</v>
      </c>
      <c r="B926" s="13">
        <f t="shared" si="25"/>
        <v>12.8956769</v>
      </c>
      <c r="C926" s="12">
        <v>18.056011835869864</v>
      </c>
      <c r="D926" s="5">
        <f t="shared" si="26"/>
        <v>1</v>
      </c>
      <c r="Q926" s="4">
        <v>54058</v>
      </c>
      <c r="R926" s="7">
        <v>24.827513033201392</v>
      </c>
      <c r="S926" s="7">
        <v>13.086896514043097</v>
      </c>
      <c r="T926" s="8">
        <v>1.596498881052595E-3</v>
      </c>
      <c r="U926" s="7">
        <v>10.346073469045146</v>
      </c>
    </row>
    <row r="927" spans="1:21" x14ac:dyDescent="0.3">
      <c r="A927" s="4">
        <v>54089</v>
      </c>
      <c r="B927" s="13">
        <f t="shared" si="25"/>
        <v>74.901552199999998</v>
      </c>
      <c r="C927" s="12">
        <v>133.41405236860726</v>
      </c>
      <c r="D927" s="5">
        <f t="shared" si="26"/>
        <v>2</v>
      </c>
      <c r="Q927" s="4">
        <v>54089</v>
      </c>
      <c r="R927" s="7">
        <v>260.72042757211187</v>
      </c>
      <c r="S927" s="7">
        <v>250.55710710870108</v>
      </c>
      <c r="T927" s="8">
        <v>0.76802051818989947</v>
      </c>
      <c r="U927" s="7">
        <v>249.23614451348766</v>
      </c>
    </row>
    <row r="928" spans="1:21" x14ac:dyDescent="0.3">
      <c r="A928" s="4">
        <v>54118</v>
      </c>
      <c r="B928" s="13">
        <f t="shared" si="25"/>
        <v>42.695902099999998</v>
      </c>
      <c r="C928" s="12">
        <v>84.146063087973744</v>
      </c>
      <c r="D928" s="5">
        <f t="shared" si="26"/>
        <v>3</v>
      </c>
      <c r="Q928" s="4">
        <v>54118</v>
      </c>
      <c r="R928" s="7">
        <v>179.30952406862485</v>
      </c>
      <c r="S928" s="7">
        <v>178.55757144437698</v>
      </c>
      <c r="T928" s="8">
        <v>0.6973445444608215</v>
      </c>
      <c r="U928" s="7">
        <v>178.11656958667993</v>
      </c>
    </row>
    <row r="929" spans="1:21" x14ac:dyDescent="0.3">
      <c r="A929" s="4">
        <v>54149</v>
      </c>
      <c r="B929" s="13">
        <f t="shared" si="25"/>
        <v>7.3926724999999998</v>
      </c>
      <c r="C929" s="12">
        <v>64.524393528699861</v>
      </c>
      <c r="D929" s="5">
        <f t="shared" si="26"/>
        <v>4</v>
      </c>
      <c r="Q929" s="4">
        <v>54149</v>
      </c>
      <c r="R929" s="7">
        <v>121.51309650637403</v>
      </c>
      <c r="S929" s="7">
        <v>117.35240392887685</v>
      </c>
      <c r="T929" s="8">
        <v>0.43447978162570877</v>
      </c>
      <c r="U929" s="7">
        <v>118.05060325703191</v>
      </c>
    </row>
    <row r="930" spans="1:21" x14ac:dyDescent="0.3">
      <c r="A930" s="4">
        <v>54179</v>
      </c>
      <c r="B930" s="13">
        <f t="shared" si="25"/>
        <v>197.41682779999999</v>
      </c>
      <c r="C930" s="12">
        <v>37.693695322377629</v>
      </c>
      <c r="D930" s="5">
        <f t="shared" si="26"/>
        <v>5</v>
      </c>
      <c r="Q930" s="4">
        <v>54179</v>
      </c>
      <c r="R930" s="7">
        <v>64.049048476397132</v>
      </c>
      <c r="S930" s="7">
        <v>71.185178242324824</v>
      </c>
      <c r="T930" s="8">
        <v>0.32150356880524494</v>
      </c>
      <c r="U930" s="7">
        <v>70.322555869025592</v>
      </c>
    </row>
    <row r="931" spans="1:21" x14ac:dyDescent="0.3">
      <c r="A931" s="4">
        <v>54210</v>
      </c>
      <c r="B931" s="13">
        <f t="shared" si="25"/>
        <v>148.2811413</v>
      </c>
      <c r="C931" s="12">
        <v>34.07305089058358</v>
      </c>
      <c r="D931" s="5">
        <f t="shared" si="26"/>
        <v>6</v>
      </c>
      <c r="Q931" s="4">
        <v>54210</v>
      </c>
      <c r="R931" s="7">
        <v>34.521995932931809</v>
      </c>
      <c r="S931" s="7">
        <v>37.951754005945489</v>
      </c>
      <c r="T931" s="8">
        <v>0.70188010660870881</v>
      </c>
      <c r="U931" s="7">
        <v>37.319178651941158</v>
      </c>
    </row>
    <row r="932" spans="1:21" x14ac:dyDescent="0.3">
      <c r="A932" s="4">
        <v>54240</v>
      </c>
      <c r="B932" s="13">
        <f t="shared" si="25"/>
        <v>279.74957339999997</v>
      </c>
      <c r="C932" s="12">
        <v>0.1179790598143881</v>
      </c>
      <c r="D932" s="5">
        <f t="shared" si="26"/>
        <v>7</v>
      </c>
      <c r="Q932" s="4">
        <v>54240</v>
      </c>
      <c r="R932" s="7">
        <v>0.42692927386347684</v>
      </c>
      <c r="S932" s="7">
        <v>1.4821579110479053</v>
      </c>
      <c r="T932" s="8">
        <v>5.8115367664652091E-2</v>
      </c>
      <c r="U932" s="7">
        <v>2.7427378812741918</v>
      </c>
    </row>
    <row r="933" spans="1:21" x14ac:dyDescent="0.3">
      <c r="A933" s="4">
        <v>54271</v>
      </c>
      <c r="B933" s="13">
        <f t="shared" si="25"/>
        <v>107.0054873</v>
      </c>
      <c r="C933" s="12">
        <v>2.5328110113621942E-11</v>
      </c>
      <c r="D933" s="5">
        <f t="shared" si="26"/>
        <v>8</v>
      </c>
      <c r="Q933" s="4">
        <v>54271</v>
      </c>
      <c r="R933" s="7">
        <v>1.377550619570221E-10</v>
      </c>
      <c r="S933" s="7">
        <v>2.6863436012319167E-2</v>
      </c>
      <c r="T933" s="8">
        <v>6.6929922185764269E-7</v>
      </c>
      <c r="U933" s="7">
        <v>1.2095162600799783E-2</v>
      </c>
    </row>
    <row r="934" spans="1:21" x14ac:dyDescent="0.3">
      <c r="A934" s="4">
        <v>54302</v>
      </c>
      <c r="B934" s="13">
        <f t="shared" si="25"/>
        <v>170.1010191</v>
      </c>
      <c r="C934" s="12">
        <v>77.898269577417409</v>
      </c>
      <c r="D934" s="5">
        <f t="shared" si="26"/>
        <v>9</v>
      </c>
      <c r="Q934" s="4">
        <v>54302</v>
      </c>
      <c r="R934" s="7">
        <v>261.02430723125991</v>
      </c>
      <c r="S934" s="7">
        <v>172.92965001642406</v>
      </c>
      <c r="T934" s="8">
        <v>0.97658515650832789</v>
      </c>
      <c r="U934" s="7">
        <v>180.28196819016233</v>
      </c>
    </row>
    <row r="935" spans="1:21" x14ac:dyDescent="0.3">
      <c r="A935" s="4">
        <v>54332</v>
      </c>
      <c r="B935" s="13">
        <f t="shared" si="25"/>
        <v>183.9758334</v>
      </c>
      <c r="C935" s="12">
        <v>1.8547201918295286E-3</v>
      </c>
      <c r="D935" s="5">
        <f t="shared" si="26"/>
        <v>10</v>
      </c>
      <c r="Q935" s="4">
        <v>54332</v>
      </c>
      <c r="R935" s="7">
        <v>4.552258189069994E-3</v>
      </c>
      <c r="S935" s="7">
        <v>0.43564381760403514</v>
      </c>
      <c r="T935" s="8">
        <v>3.0599976843118398E-6</v>
      </c>
      <c r="U935" s="7">
        <v>2.6723400421017964</v>
      </c>
    </row>
    <row r="936" spans="1:21" x14ac:dyDescent="0.3">
      <c r="A936" s="4">
        <v>54363</v>
      </c>
      <c r="B936" s="13">
        <f t="shared" si="25"/>
        <v>88.179111899999995</v>
      </c>
      <c r="C936" s="12">
        <v>34.842460096115161</v>
      </c>
      <c r="D936" s="5">
        <f t="shared" si="26"/>
        <v>11</v>
      </c>
      <c r="Q936" s="4">
        <v>54363</v>
      </c>
      <c r="R936" s="7">
        <v>75.514937926530294</v>
      </c>
      <c r="S936" s="7">
        <v>118.17073034893423</v>
      </c>
      <c r="T936" s="8">
        <v>0.10885941188367176</v>
      </c>
      <c r="U936" s="7">
        <v>116.99992814732748</v>
      </c>
    </row>
    <row r="937" spans="1:21" x14ac:dyDescent="0.3">
      <c r="A937" s="4">
        <v>54393</v>
      </c>
      <c r="B937" s="13">
        <f t="shared" si="25"/>
        <v>9.8212212000000001</v>
      </c>
      <c r="C937" s="12">
        <v>63.196168706053754</v>
      </c>
      <c r="D937" s="5">
        <f t="shared" si="26"/>
        <v>12</v>
      </c>
      <c r="Q937" s="4">
        <v>54393</v>
      </c>
      <c r="R937" s="7">
        <v>133.32716061489492</v>
      </c>
      <c r="S937" s="7">
        <v>148.05501385543528</v>
      </c>
      <c r="T937" s="8">
        <v>0.18992404973968949</v>
      </c>
      <c r="U937" s="7">
        <v>146.20300020899828</v>
      </c>
    </row>
    <row r="938" spans="1:21" x14ac:dyDescent="0.3">
      <c r="A938" s="4">
        <v>54424</v>
      </c>
      <c r="B938" s="13">
        <f t="shared" si="25"/>
        <v>23.3168866</v>
      </c>
      <c r="C938" s="12">
        <v>168.96712942980238</v>
      </c>
      <c r="D938" s="5">
        <f t="shared" si="26"/>
        <v>1</v>
      </c>
      <c r="Q938" s="4">
        <v>54424</v>
      </c>
      <c r="R938" s="7">
        <v>232.33445160726137</v>
      </c>
      <c r="S938" s="7">
        <v>249.8219797551177</v>
      </c>
      <c r="T938" s="8">
        <v>0.8350575425879474</v>
      </c>
      <c r="U938" s="7">
        <v>251.08514451841168</v>
      </c>
    </row>
    <row r="939" spans="1:21" x14ac:dyDescent="0.3">
      <c r="A939" s="4">
        <v>54455</v>
      </c>
      <c r="B939" s="13">
        <f t="shared" si="25"/>
        <v>5.416696</v>
      </c>
      <c r="C939" s="12">
        <v>81.540343025699272</v>
      </c>
      <c r="D939" s="5">
        <f t="shared" si="26"/>
        <v>2</v>
      </c>
      <c r="Q939" s="4">
        <v>54455</v>
      </c>
      <c r="R939" s="7">
        <v>159.347780242071</v>
      </c>
      <c r="S939" s="7">
        <v>171.1179399089082</v>
      </c>
      <c r="T939" s="8">
        <v>0.43822994597527026</v>
      </c>
      <c r="U939" s="7">
        <v>169.87744203033557</v>
      </c>
    </row>
    <row r="940" spans="1:21" x14ac:dyDescent="0.3">
      <c r="A940" s="4">
        <v>54483</v>
      </c>
      <c r="B940" s="13">
        <f t="shared" si="25"/>
        <v>7.7626016</v>
      </c>
      <c r="C940" s="12">
        <v>189.34050765819839</v>
      </c>
      <c r="D940" s="5">
        <f t="shared" si="26"/>
        <v>3</v>
      </c>
      <c r="Q940" s="4">
        <v>54483</v>
      </c>
      <c r="R940" s="7">
        <v>403.47171417406014</v>
      </c>
      <c r="S940" s="7">
        <v>377.59140885039039</v>
      </c>
      <c r="T940" s="8">
        <v>0.99219327375654021</v>
      </c>
      <c r="U940" s="7">
        <v>380.85401811729002</v>
      </c>
    </row>
    <row r="941" spans="1:21" x14ac:dyDescent="0.3">
      <c r="A941" s="4">
        <v>54514</v>
      </c>
      <c r="B941" s="13">
        <f t="shared" si="25"/>
        <v>117.76550640000001</v>
      </c>
      <c r="C941" s="12">
        <v>99.410010734573021</v>
      </c>
      <c r="D941" s="5">
        <f t="shared" si="26"/>
        <v>4</v>
      </c>
      <c r="Q941" s="4">
        <v>54514</v>
      </c>
      <c r="R941" s="7">
        <v>187.21010097858488</v>
      </c>
      <c r="S941" s="7">
        <v>191.3489963529567</v>
      </c>
      <c r="T941" s="8">
        <v>0.78763611957023238</v>
      </c>
      <c r="U941" s="7">
        <v>191.7657684740424</v>
      </c>
    </row>
    <row r="942" spans="1:21" x14ac:dyDescent="0.3">
      <c r="A942" s="4">
        <v>54544</v>
      </c>
      <c r="B942" s="13">
        <f t="shared" si="25"/>
        <v>365.85562299999998</v>
      </c>
      <c r="C942" s="12">
        <v>93.085242435336156</v>
      </c>
      <c r="D942" s="5">
        <f t="shared" si="26"/>
        <v>5</v>
      </c>
      <c r="Q942" s="4">
        <v>54544</v>
      </c>
      <c r="R942" s="7">
        <v>158.17024980404483</v>
      </c>
      <c r="S942" s="7">
        <v>153.0448999915516</v>
      </c>
      <c r="T942" s="8">
        <v>0.80596396435818329</v>
      </c>
      <c r="U942" s="7">
        <v>152.56812789261053</v>
      </c>
    </row>
    <row r="943" spans="1:21" x14ac:dyDescent="0.3">
      <c r="A943" s="4">
        <v>54575</v>
      </c>
      <c r="B943" s="13">
        <f t="shared" si="25"/>
        <v>194.629075</v>
      </c>
      <c r="C943" s="12">
        <v>72.957156517077237</v>
      </c>
      <c r="D943" s="5">
        <f t="shared" si="26"/>
        <v>6</v>
      </c>
      <c r="Q943" s="4">
        <v>54575</v>
      </c>
      <c r="R943" s="7">
        <v>73.918436850539166</v>
      </c>
      <c r="S943" s="7">
        <v>60.97104057867795</v>
      </c>
      <c r="T943" s="8">
        <v>0.8874534001726937</v>
      </c>
      <c r="U943" s="7">
        <v>59.066548120899483</v>
      </c>
    </row>
    <row r="944" spans="1:21" x14ac:dyDescent="0.3">
      <c r="A944" s="4">
        <v>54605</v>
      </c>
      <c r="B944" s="13">
        <f t="shared" si="25"/>
        <v>340.71397519999999</v>
      </c>
      <c r="C944" s="12">
        <v>21.957390866009522</v>
      </c>
      <c r="D944" s="5">
        <f t="shared" si="26"/>
        <v>7</v>
      </c>
      <c r="Q944" s="4">
        <v>54605</v>
      </c>
      <c r="R944" s="7">
        <v>79.456921873340349</v>
      </c>
      <c r="S944" s="7">
        <v>65.334313571826485</v>
      </c>
      <c r="T944" s="8">
        <v>0.93132964142376018</v>
      </c>
      <c r="U944" s="7">
        <v>63.820849556038645</v>
      </c>
    </row>
    <row r="945" spans="1:21" x14ac:dyDescent="0.3">
      <c r="A945" s="4">
        <v>54636</v>
      </c>
      <c r="B945" s="13">
        <f t="shared" si="25"/>
        <v>402.04359829999999</v>
      </c>
      <c r="C945" s="12">
        <v>0</v>
      </c>
      <c r="D945" s="5">
        <f t="shared" si="26"/>
        <v>8</v>
      </c>
      <c r="Q945" s="4">
        <v>54636</v>
      </c>
      <c r="R945" s="7">
        <v>0</v>
      </c>
      <c r="S945" s="7">
        <v>0</v>
      </c>
      <c r="T945" s="8">
        <v>0</v>
      </c>
      <c r="U945" s="7">
        <v>0</v>
      </c>
    </row>
    <row r="946" spans="1:21" x14ac:dyDescent="0.3">
      <c r="A946" s="4">
        <v>54667</v>
      </c>
      <c r="B946" s="13">
        <f t="shared" si="25"/>
        <v>131.82575180000001</v>
      </c>
      <c r="C946" s="12">
        <v>26.19687246624386</v>
      </c>
      <c r="D946" s="5">
        <f t="shared" si="26"/>
        <v>9</v>
      </c>
      <c r="Q946" s="4">
        <v>54667</v>
      </c>
      <c r="R946" s="7">
        <v>87.781417022764032</v>
      </c>
      <c r="S946" s="7">
        <v>88.077887635542609</v>
      </c>
      <c r="T946" s="8">
        <v>0.77200026078272532</v>
      </c>
      <c r="U946" s="7">
        <v>84.735456201484197</v>
      </c>
    </row>
    <row r="947" spans="1:21" x14ac:dyDescent="0.3">
      <c r="A947" s="4">
        <v>54697</v>
      </c>
      <c r="B947" s="13">
        <f t="shared" si="25"/>
        <v>85.075311400000004</v>
      </c>
      <c r="C947" s="12">
        <v>70.302674366394058</v>
      </c>
      <c r="D947" s="5">
        <f t="shared" si="26"/>
        <v>10</v>
      </c>
      <c r="Q947" s="4">
        <v>54697</v>
      </c>
      <c r="R947" s="7">
        <v>172.55213293507603</v>
      </c>
      <c r="S947" s="7">
        <v>188.69389696100112</v>
      </c>
      <c r="T947" s="8">
        <v>0.6238936042547385</v>
      </c>
      <c r="U947" s="7">
        <v>183.82791602536273</v>
      </c>
    </row>
    <row r="948" spans="1:21" x14ac:dyDescent="0.3">
      <c r="A948" s="4">
        <v>54728</v>
      </c>
      <c r="B948" s="13">
        <f t="shared" si="25"/>
        <v>104.9186133</v>
      </c>
      <c r="C948" s="12">
        <v>61.184678692370596</v>
      </c>
      <c r="D948" s="5">
        <f t="shared" si="26"/>
        <v>11</v>
      </c>
      <c r="Q948" s="4">
        <v>54728</v>
      </c>
      <c r="R948" s="7">
        <v>132.60708918840731</v>
      </c>
      <c r="S948" s="7">
        <v>165.68149558748576</v>
      </c>
      <c r="T948" s="8">
        <v>0.31355107339691873</v>
      </c>
      <c r="U948" s="7">
        <v>161.96653036274498</v>
      </c>
    </row>
    <row r="949" spans="1:21" x14ac:dyDescent="0.3">
      <c r="A949" s="4">
        <v>54758</v>
      </c>
      <c r="B949" s="13">
        <f t="shared" si="25"/>
        <v>106.8214758</v>
      </c>
      <c r="C949" s="12">
        <v>161.95393195375794</v>
      </c>
      <c r="D949" s="5">
        <f t="shared" si="26"/>
        <v>12</v>
      </c>
      <c r="Q949" s="4">
        <v>54758</v>
      </c>
      <c r="R949" s="7">
        <v>341.67985718007617</v>
      </c>
      <c r="S949" s="7">
        <v>326.6893407067854</v>
      </c>
      <c r="T949" s="8">
        <v>0.84409129777074487</v>
      </c>
      <c r="U949" s="7">
        <v>327.76044460497872</v>
      </c>
    </row>
    <row r="950" spans="1:21" x14ac:dyDescent="0.3">
      <c r="A950" s="4">
        <v>54789</v>
      </c>
      <c r="B950" s="13">
        <f t="shared" si="25"/>
        <v>30.235095699999999</v>
      </c>
      <c r="C950" s="12">
        <v>104.13187521044169</v>
      </c>
      <c r="D950" s="5">
        <f t="shared" si="26"/>
        <v>1</v>
      </c>
      <c r="Q950" s="4">
        <v>54789</v>
      </c>
      <c r="R950" s="7">
        <v>143.18419330136595</v>
      </c>
      <c r="S950" s="7">
        <v>131.94537266779992</v>
      </c>
      <c r="T950" s="8">
        <v>0.45485474653852792</v>
      </c>
      <c r="U950" s="7">
        <v>133.37322461942892</v>
      </c>
    </row>
    <row r="951" spans="1:21" x14ac:dyDescent="0.3">
      <c r="A951" s="4">
        <v>54820</v>
      </c>
      <c r="B951" s="13">
        <f t="shared" si="25"/>
        <v>15.7929402</v>
      </c>
      <c r="C951" s="12">
        <v>63.422176614403632</v>
      </c>
      <c r="D951" s="5">
        <f t="shared" si="26"/>
        <v>2</v>
      </c>
      <c r="Q951" s="4">
        <v>54820</v>
      </c>
      <c r="R951" s="7">
        <v>123.94089461262892</v>
      </c>
      <c r="S951" s="7">
        <v>140.85523068643329</v>
      </c>
      <c r="T951" s="8">
        <v>0.28892440568899197</v>
      </c>
      <c r="U951" s="7">
        <v>140.42485174849335</v>
      </c>
    </row>
    <row r="952" spans="1:21" x14ac:dyDescent="0.3">
      <c r="A952" s="4">
        <v>54848</v>
      </c>
      <c r="B952" s="13">
        <f t="shared" si="25"/>
        <v>41.717884300000001</v>
      </c>
      <c r="C952" s="12">
        <v>41.290425712941179</v>
      </c>
      <c r="D952" s="5">
        <f t="shared" si="26"/>
        <v>3</v>
      </c>
      <c r="Q952" s="4">
        <v>54848</v>
      </c>
      <c r="R952" s="7">
        <v>87.987082359846596</v>
      </c>
      <c r="S952" s="7">
        <v>92.526391687575583</v>
      </c>
      <c r="T952" s="8">
        <v>0.2220421701233955</v>
      </c>
      <c r="U952" s="7">
        <v>92.554375931899997</v>
      </c>
    </row>
    <row r="953" spans="1:21" x14ac:dyDescent="0.3">
      <c r="A953" s="4">
        <v>54879</v>
      </c>
      <c r="B953" s="13">
        <f t="shared" si="25"/>
        <v>136.0408821</v>
      </c>
      <c r="C953" s="12">
        <v>38.656834774883485</v>
      </c>
      <c r="D953" s="5">
        <f t="shared" si="26"/>
        <v>4</v>
      </c>
      <c r="Q953" s="4">
        <v>54879</v>
      </c>
      <c r="R953" s="7">
        <v>72.799005736366212</v>
      </c>
      <c r="S953" s="7">
        <v>65.735735390494426</v>
      </c>
      <c r="T953" s="8">
        <v>0.12601089299028465</v>
      </c>
      <c r="U953" s="7">
        <v>65.685597889523905</v>
      </c>
    </row>
    <row r="954" spans="1:21" x14ac:dyDescent="0.3">
      <c r="A954" s="4">
        <v>54909</v>
      </c>
      <c r="B954" s="13">
        <f t="shared" si="25"/>
        <v>88.018713199999993</v>
      </c>
      <c r="C954" s="12">
        <v>11.420179755077688</v>
      </c>
      <c r="D954" s="5">
        <f t="shared" si="26"/>
        <v>5</v>
      </c>
      <c r="Q954" s="4">
        <v>54909</v>
      </c>
      <c r="R954" s="7">
        <v>19.405145621472112</v>
      </c>
      <c r="S954" s="7">
        <v>25.899325345561799</v>
      </c>
      <c r="T954" s="8">
        <v>4.0298330919738209E-2</v>
      </c>
      <c r="U954" s="7">
        <v>26.425771947088162</v>
      </c>
    </row>
    <row r="955" spans="1:21" x14ac:dyDescent="0.3">
      <c r="A955" s="4">
        <v>54940</v>
      </c>
      <c r="B955" s="13">
        <f t="shared" si="25"/>
        <v>178.457222</v>
      </c>
      <c r="C955" s="12">
        <v>0.21453925228342988</v>
      </c>
      <c r="D955" s="5">
        <f t="shared" si="26"/>
        <v>6</v>
      </c>
      <c r="Q955" s="4">
        <v>54940</v>
      </c>
      <c r="R955" s="7">
        <v>0.21736601217678475</v>
      </c>
      <c r="S955" s="7">
        <v>1.6172751048001694</v>
      </c>
      <c r="T955" s="8">
        <v>4.1252643541362093E-2</v>
      </c>
      <c r="U955" s="7">
        <v>3.7894418129519036</v>
      </c>
    </row>
    <row r="956" spans="1:21" x14ac:dyDescent="0.3">
      <c r="A956" s="4">
        <v>54970</v>
      </c>
      <c r="B956" s="13">
        <f t="shared" si="25"/>
        <v>373.12640429999999</v>
      </c>
      <c r="C956" s="12">
        <v>8.7920120196940754</v>
      </c>
      <c r="D956" s="5">
        <f t="shared" si="26"/>
        <v>7</v>
      </c>
      <c r="Q956" s="4">
        <v>54970</v>
      </c>
      <c r="R956" s="7">
        <v>31.815538395307563</v>
      </c>
      <c r="S956" s="7">
        <v>33.666197799318496</v>
      </c>
      <c r="T956" s="8">
        <v>0.72000100009425527</v>
      </c>
      <c r="U956" s="7">
        <v>33.188521104171443</v>
      </c>
    </row>
    <row r="957" spans="1:21" x14ac:dyDescent="0.3">
      <c r="A957" s="4">
        <v>55001</v>
      </c>
      <c r="B957" s="13">
        <f t="shared" si="25"/>
        <v>225.73365720000001</v>
      </c>
      <c r="C957" s="12">
        <v>0.26050367484913289</v>
      </c>
      <c r="D957" s="5">
        <f t="shared" si="26"/>
        <v>8</v>
      </c>
      <c r="Q957" s="4">
        <v>55001</v>
      </c>
      <c r="R957" s="7">
        <v>1.4168329065173413</v>
      </c>
      <c r="S957" s="7">
        <v>18.957950388004686</v>
      </c>
      <c r="T957" s="8">
        <v>0.14932892208187667</v>
      </c>
      <c r="U957" s="7">
        <v>10.582354780862607</v>
      </c>
    </row>
    <row r="958" spans="1:21" x14ac:dyDescent="0.3">
      <c r="A958" s="4">
        <v>55032</v>
      </c>
      <c r="B958" s="13">
        <f t="shared" si="25"/>
        <v>260.26605640000002</v>
      </c>
      <c r="C958" s="12">
        <v>0.67907574884884647</v>
      </c>
      <c r="D958" s="5">
        <f t="shared" si="26"/>
        <v>9</v>
      </c>
      <c r="Q958" s="4">
        <v>55032</v>
      </c>
      <c r="R958" s="7">
        <v>2.2754713020249837</v>
      </c>
      <c r="S958" s="7">
        <v>9.1787353708756267</v>
      </c>
      <c r="T958" s="8">
        <v>8.7750699221901401E-2</v>
      </c>
      <c r="U958" s="7">
        <v>11.735269232249815</v>
      </c>
    </row>
    <row r="959" spans="1:21" x14ac:dyDescent="0.3">
      <c r="A959" s="4">
        <v>55062</v>
      </c>
      <c r="B959" s="13">
        <f t="shared" si="25"/>
        <v>122.1456034</v>
      </c>
      <c r="C959" s="12">
        <v>50.514226203085713</v>
      </c>
      <c r="D959" s="5">
        <f t="shared" si="26"/>
        <v>10</v>
      </c>
      <c r="Q959" s="4">
        <v>55062</v>
      </c>
      <c r="R959" s="7">
        <v>123.98301420911396</v>
      </c>
      <c r="S959" s="7">
        <v>155.98769728614931</v>
      </c>
      <c r="T959" s="8">
        <v>0.49031261513726759</v>
      </c>
      <c r="U959" s="7">
        <v>152.92839891072134</v>
      </c>
    </row>
    <row r="960" spans="1:21" x14ac:dyDescent="0.3">
      <c r="A960" s="4">
        <v>55093</v>
      </c>
      <c r="B960" s="13">
        <f t="shared" ref="B960:B1023" si="27">B579</f>
        <v>319.44285889999998</v>
      </c>
      <c r="C960" s="12">
        <v>73.705035494640583</v>
      </c>
      <c r="D960" s="5">
        <f t="shared" si="26"/>
        <v>11</v>
      </c>
      <c r="Q960" s="4">
        <v>55093</v>
      </c>
      <c r="R960" s="7">
        <v>159.74277260838625</v>
      </c>
      <c r="S960" s="7">
        <v>185.26831939887211</v>
      </c>
      <c r="T960" s="8">
        <v>0.41689289433996313</v>
      </c>
      <c r="U960" s="7">
        <v>181.19989108172271</v>
      </c>
    </row>
    <row r="961" spans="1:21" x14ac:dyDescent="0.3">
      <c r="A961" s="4">
        <v>55123</v>
      </c>
      <c r="B961" s="13">
        <f t="shared" si="27"/>
        <v>29.1984888</v>
      </c>
      <c r="C961" s="12">
        <v>276.43042642157394</v>
      </c>
      <c r="D961" s="5">
        <f t="shared" si="26"/>
        <v>12</v>
      </c>
      <c r="Q961" s="4">
        <v>55123</v>
      </c>
      <c r="R961" s="7">
        <v>583.19490907401416</v>
      </c>
      <c r="S961" s="7">
        <v>512.16193271211876</v>
      </c>
      <c r="T961" s="8">
        <v>0.99168473428268</v>
      </c>
      <c r="U961" s="7">
        <v>526.66962700360125</v>
      </c>
    </row>
    <row r="962" spans="1:21" x14ac:dyDescent="0.3">
      <c r="A962" s="4">
        <v>55154</v>
      </c>
      <c r="B962" s="13">
        <f t="shared" si="27"/>
        <v>19.3253485</v>
      </c>
      <c r="C962" s="12">
        <v>225.15194714069366</v>
      </c>
      <c r="D962" s="5">
        <f t="shared" si="26"/>
        <v>1</v>
      </c>
      <c r="Q962" s="4">
        <v>55154</v>
      </c>
      <c r="R962" s="7">
        <v>309.59012172230013</v>
      </c>
      <c r="S962" s="7">
        <v>364.79610784063971</v>
      </c>
      <c r="T962" s="8">
        <v>0.95654655561726876</v>
      </c>
      <c r="U962" s="7">
        <v>360.10973761825238</v>
      </c>
    </row>
    <row r="963" spans="1:21" x14ac:dyDescent="0.3">
      <c r="A963" s="4">
        <v>55185</v>
      </c>
      <c r="B963" s="13">
        <f t="shared" si="27"/>
        <v>33.942540899999997</v>
      </c>
      <c r="C963" s="12">
        <v>55.886075366288509</v>
      </c>
      <c r="D963" s="5">
        <f t="shared" ref="D963:D1026" si="28">MONTH(A963)</f>
        <v>2</v>
      </c>
      <c r="Q963" s="4">
        <v>55185</v>
      </c>
      <c r="R963" s="7">
        <v>109.21369380617453</v>
      </c>
      <c r="S963" s="7">
        <v>127.70964866593044</v>
      </c>
      <c r="T963" s="8">
        <v>0.22754658698357749</v>
      </c>
      <c r="U963" s="7">
        <v>127.75253793040517</v>
      </c>
    </row>
    <row r="964" spans="1:21" x14ac:dyDescent="0.3">
      <c r="A964" s="4">
        <v>55213</v>
      </c>
      <c r="B964" s="13">
        <f t="shared" si="27"/>
        <v>23.671156</v>
      </c>
      <c r="C964" s="12">
        <v>111.52332356432446</v>
      </c>
      <c r="D964" s="5">
        <f t="shared" si="28"/>
        <v>3</v>
      </c>
      <c r="Q964" s="4">
        <v>55213</v>
      </c>
      <c r="R964" s="7">
        <v>237.64859979204775</v>
      </c>
      <c r="S964" s="7">
        <v>231.60300526948922</v>
      </c>
      <c r="T964" s="8">
        <v>0.8675057824948067</v>
      </c>
      <c r="U964" s="7">
        <v>231.5220017138877</v>
      </c>
    </row>
    <row r="965" spans="1:21" x14ac:dyDescent="0.3">
      <c r="A965" s="4">
        <v>55244</v>
      </c>
      <c r="B965" s="13">
        <f t="shared" si="27"/>
        <v>219.49936270000001</v>
      </c>
      <c r="C965" s="12">
        <v>83.107321173883989</v>
      </c>
      <c r="D965" s="5">
        <f t="shared" si="28"/>
        <v>4</v>
      </c>
      <c r="Q965" s="4">
        <v>55244</v>
      </c>
      <c r="R965" s="7">
        <v>156.50868432721663</v>
      </c>
      <c r="S965" s="7">
        <v>156.25315579952627</v>
      </c>
      <c r="T965" s="8">
        <v>0.64874953329904761</v>
      </c>
      <c r="U965" s="7">
        <v>157.00098884595533</v>
      </c>
    </row>
    <row r="966" spans="1:21" x14ac:dyDescent="0.3">
      <c r="A966" s="4">
        <v>55274</v>
      </c>
      <c r="B966" s="13">
        <f t="shared" si="27"/>
        <v>249.34859309999999</v>
      </c>
      <c r="C966" s="12">
        <v>113.36182414088398</v>
      </c>
      <c r="D966" s="5">
        <f t="shared" si="28"/>
        <v>5</v>
      </c>
      <c r="Q966" s="4">
        <v>55274</v>
      </c>
      <c r="R966" s="7">
        <v>192.6241751485112</v>
      </c>
      <c r="S966" s="7">
        <v>180.83626338626598</v>
      </c>
      <c r="T966" s="8">
        <v>0.887043865324744</v>
      </c>
      <c r="U966" s="7">
        <v>181.40956513397663</v>
      </c>
    </row>
    <row r="967" spans="1:21" x14ac:dyDescent="0.3">
      <c r="A967" s="4">
        <v>55305</v>
      </c>
      <c r="B967" s="13">
        <f t="shared" si="27"/>
        <v>182.74890590000001</v>
      </c>
      <c r="C967" s="12">
        <v>2.8467573647503617</v>
      </c>
      <c r="D967" s="5">
        <f t="shared" si="28"/>
        <v>6</v>
      </c>
      <c r="Q967" s="4">
        <v>55305</v>
      </c>
      <c r="R967" s="7">
        <v>2.8842661164549579</v>
      </c>
      <c r="S967" s="7">
        <v>8.0900376124143989</v>
      </c>
      <c r="T967" s="8">
        <v>0.19378311752822641</v>
      </c>
      <c r="U967" s="7">
        <v>10.908189860108529</v>
      </c>
    </row>
    <row r="968" spans="1:21" x14ac:dyDescent="0.3">
      <c r="A968" s="4">
        <v>55335</v>
      </c>
      <c r="B968" s="13">
        <f t="shared" si="27"/>
        <v>157.57980079999999</v>
      </c>
      <c r="C968" s="12">
        <v>0.36353825580590632</v>
      </c>
      <c r="D968" s="5">
        <f t="shared" si="28"/>
        <v>7</v>
      </c>
      <c r="Q968" s="4">
        <v>55335</v>
      </c>
      <c r="R968" s="7">
        <v>1.3155311104952752</v>
      </c>
      <c r="S968" s="7">
        <v>3.3492384611500881</v>
      </c>
      <c r="T968" s="8">
        <v>0.11960926544571641</v>
      </c>
      <c r="U968" s="7">
        <v>4.9686415834692328</v>
      </c>
    </row>
    <row r="969" spans="1:21" x14ac:dyDescent="0.3">
      <c r="A969" s="4">
        <v>55366</v>
      </c>
      <c r="B969" s="13">
        <f t="shared" si="27"/>
        <v>167.8532773</v>
      </c>
      <c r="C969" s="12">
        <v>44.796834443695843</v>
      </c>
      <c r="D969" s="5">
        <f t="shared" si="28"/>
        <v>8</v>
      </c>
      <c r="Q969" s="4">
        <v>55366</v>
      </c>
      <c r="R969" s="7">
        <v>243.64197236140828</v>
      </c>
      <c r="S969" s="7">
        <v>81.998703270337032</v>
      </c>
      <c r="T969" s="8">
        <v>0.99463693962548971</v>
      </c>
      <c r="U969" s="7">
        <v>123.89290529708902</v>
      </c>
    </row>
    <row r="970" spans="1:21" x14ac:dyDescent="0.3">
      <c r="A970" s="4">
        <v>55397</v>
      </c>
      <c r="B970" s="13">
        <f t="shared" si="27"/>
        <v>197.7955997</v>
      </c>
      <c r="C970" s="12">
        <v>25.403346953680725</v>
      </c>
      <c r="D970" s="5">
        <f t="shared" si="28"/>
        <v>9</v>
      </c>
      <c r="Q970" s="4">
        <v>55397</v>
      </c>
      <c r="R970" s="7">
        <v>85.12244335992456</v>
      </c>
      <c r="S970" s="7">
        <v>86.416516173195404</v>
      </c>
      <c r="T970" s="8">
        <v>0.76337382022509193</v>
      </c>
      <c r="U970" s="7">
        <v>83.069825041341758</v>
      </c>
    </row>
    <row r="971" spans="1:21" x14ac:dyDescent="0.3">
      <c r="A971" s="4">
        <v>55427</v>
      </c>
      <c r="B971" s="13">
        <f t="shared" si="27"/>
        <v>101.5655333</v>
      </c>
      <c r="C971" s="12">
        <v>207.8776751412079</v>
      </c>
      <c r="D971" s="5">
        <f t="shared" si="28"/>
        <v>10</v>
      </c>
      <c r="Q971" s="4">
        <v>55427</v>
      </c>
      <c r="R971" s="7">
        <v>510.21865894118292</v>
      </c>
      <c r="S971" s="7">
        <v>352.27943762491549</v>
      </c>
      <c r="T971" s="8">
        <v>0.95980810879992839</v>
      </c>
      <c r="U971" s="7">
        <v>358.4440612309437</v>
      </c>
    </row>
    <row r="972" spans="1:21" x14ac:dyDescent="0.3">
      <c r="A972" s="4">
        <v>55458</v>
      </c>
      <c r="B972" s="13">
        <f t="shared" si="27"/>
        <v>38.190784100000002</v>
      </c>
      <c r="C972" s="12">
        <v>105.08304310496901</v>
      </c>
      <c r="D972" s="5">
        <f t="shared" si="28"/>
        <v>11</v>
      </c>
      <c r="Q972" s="4">
        <v>55458</v>
      </c>
      <c r="R972" s="7">
        <v>227.74911574304741</v>
      </c>
      <c r="S972" s="7">
        <v>229.2186855958534</v>
      </c>
      <c r="T972" s="8">
        <v>0.64198521066574199</v>
      </c>
      <c r="U972" s="7">
        <v>225.97456421254219</v>
      </c>
    </row>
    <row r="973" spans="1:21" x14ac:dyDescent="0.3">
      <c r="A973" s="4">
        <v>55488</v>
      </c>
      <c r="B973" s="13">
        <f t="shared" si="27"/>
        <v>20.4649234</v>
      </c>
      <c r="C973" s="12">
        <v>112.20419268356646</v>
      </c>
      <c r="D973" s="5">
        <f t="shared" si="28"/>
        <v>12</v>
      </c>
      <c r="Q973" s="4">
        <v>55488</v>
      </c>
      <c r="R973" s="7">
        <v>236.72109759010488</v>
      </c>
      <c r="S973" s="7">
        <v>239.93659691764836</v>
      </c>
      <c r="T973" s="8">
        <v>0.58081620119864263</v>
      </c>
      <c r="U973" s="7">
        <v>238.25672798807571</v>
      </c>
    </row>
    <row r="974" spans="1:21" x14ac:dyDescent="0.3">
      <c r="A974" s="4">
        <v>55519</v>
      </c>
      <c r="B974" s="13">
        <f t="shared" si="27"/>
        <v>1.6851940999999999</v>
      </c>
      <c r="C974" s="12">
        <v>153.33730699494484</v>
      </c>
      <c r="D974" s="5">
        <f t="shared" si="28"/>
        <v>1</v>
      </c>
      <c r="Q974" s="4">
        <v>55519</v>
      </c>
      <c r="R974" s="7">
        <v>210.84301575002769</v>
      </c>
      <c r="S974" s="7">
        <v>219.80490280286236</v>
      </c>
      <c r="T974" s="8">
        <v>0.77081818239398481</v>
      </c>
      <c r="U974" s="7">
        <v>221.73142083094459</v>
      </c>
    </row>
    <row r="975" spans="1:21" x14ac:dyDescent="0.3">
      <c r="A975" s="4">
        <v>55550</v>
      </c>
      <c r="B975" s="13">
        <f t="shared" si="27"/>
        <v>2.5017209</v>
      </c>
      <c r="C975" s="12">
        <v>120.2631436404771</v>
      </c>
      <c r="D975" s="5">
        <f t="shared" si="28"/>
        <v>2</v>
      </c>
      <c r="Q975" s="4">
        <v>55550</v>
      </c>
      <c r="R975" s="7">
        <v>235.02065692811109</v>
      </c>
      <c r="S975" s="7">
        <v>231.20682120981886</v>
      </c>
      <c r="T975" s="8">
        <v>0.70289167597537738</v>
      </c>
      <c r="U975" s="7">
        <v>229.62432237407535</v>
      </c>
    </row>
    <row r="976" spans="1:21" x14ac:dyDescent="0.3">
      <c r="A976" s="4">
        <v>55579</v>
      </c>
      <c r="B976" s="13">
        <f t="shared" si="27"/>
        <v>36.899288900000002</v>
      </c>
      <c r="C976" s="12">
        <v>86.00722812116156</v>
      </c>
      <c r="D976" s="5">
        <f t="shared" si="28"/>
        <v>3</v>
      </c>
      <c r="Q976" s="4">
        <v>55579</v>
      </c>
      <c r="R976" s="7">
        <v>183.27553987574788</v>
      </c>
      <c r="S976" s="7">
        <v>182.2015186805755</v>
      </c>
      <c r="T976" s="8">
        <v>0.71264992333220634</v>
      </c>
      <c r="U976" s="7">
        <v>181.76945740384514</v>
      </c>
    </row>
    <row r="977" spans="1:21" x14ac:dyDescent="0.3">
      <c r="A977" s="4">
        <v>55610</v>
      </c>
      <c r="B977" s="13">
        <f t="shared" si="27"/>
        <v>155.0838957</v>
      </c>
      <c r="C977" s="12">
        <v>86.408195318654251</v>
      </c>
      <c r="D977" s="5">
        <f t="shared" si="28"/>
        <v>4</v>
      </c>
      <c r="Q977" s="4">
        <v>55610</v>
      </c>
      <c r="R977" s="7">
        <v>162.72492932501669</v>
      </c>
      <c r="S977" s="7">
        <v>163.29160886377659</v>
      </c>
      <c r="T977" s="8">
        <v>0.68093262357421458</v>
      </c>
      <c r="U977" s="7">
        <v>164.00090160457748</v>
      </c>
    </row>
    <row r="978" spans="1:21" x14ac:dyDescent="0.3">
      <c r="A978" s="4">
        <v>55640</v>
      </c>
      <c r="B978" s="13">
        <f t="shared" si="27"/>
        <v>301.68988339999999</v>
      </c>
      <c r="C978" s="12">
        <v>29.033483183593386</v>
      </c>
      <c r="D978" s="5">
        <f t="shared" si="28"/>
        <v>5</v>
      </c>
      <c r="Q978" s="4">
        <v>55640</v>
      </c>
      <c r="R978" s="7">
        <v>49.333634072238709</v>
      </c>
      <c r="S978" s="7">
        <v>57.068732757447222</v>
      </c>
      <c r="T978" s="8">
        <v>0.21734301932572234</v>
      </c>
      <c r="U978" s="7">
        <v>56.552663061728971</v>
      </c>
    </row>
    <row r="979" spans="1:21" x14ac:dyDescent="0.3">
      <c r="A979" s="4">
        <v>55671</v>
      </c>
      <c r="B979" s="13">
        <f t="shared" si="27"/>
        <v>262.92180359999998</v>
      </c>
      <c r="C979" s="12">
        <v>9.0833193127082164E-3</v>
      </c>
      <c r="D979" s="5">
        <f t="shared" si="28"/>
        <v>6</v>
      </c>
      <c r="Q979" s="4">
        <v>55671</v>
      </c>
      <c r="R979" s="7">
        <v>9.2030007344453355E-3</v>
      </c>
      <c r="S979" s="7">
        <v>0.2257812850396243</v>
      </c>
      <c r="T979" s="8">
        <v>6.0793323233626758E-3</v>
      </c>
      <c r="U979" s="7">
        <v>1.1550850751243211</v>
      </c>
    </row>
    <row r="980" spans="1:21" x14ac:dyDescent="0.3">
      <c r="A980" s="4">
        <v>55701</v>
      </c>
      <c r="B980" s="13">
        <f t="shared" si="27"/>
        <v>31.209526700000001</v>
      </c>
      <c r="C980" s="12">
        <v>2.0147758605162376</v>
      </c>
      <c r="D980" s="5">
        <f t="shared" si="28"/>
        <v>7</v>
      </c>
      <c r="Q980" s="4">
        <v>55701</v>
      </c>
      <c r="R980" s="7">
        <v>7.2908429384089537</v>
      </c>
      <c r="S980" s="7">
        <v>11.579035367851384</v>
      </c>
      <c r="T980" s="8">
        <v>0.34321813864932282</v>
      </c>
      <c r="U980" s="7">
        <v>13.036439964965915</v>
      </c>
    </row>
    <row r="981" spans="1:21" x14ac:dyDescent="0.3">
      <c r="A981" s="4">
        <v>55732</v>
      </c>
      <c r="B981" s="13">
        <f t="shared" si="27"/>
        <v>211.0095087</v>
      </c>
      <c r="C981" s="12">
        <v>4.7058583749759473E-3</v>
      </c>
      <c r="D981" s="5">
        <f t="shared" si="28"/>
        <v>8</v>
      </c>
      <c r="Q981" s="4">
        <v>55732</v>
      </c>
      <c r="R981" s="7">
        <v>2.559432224108733E-2</v>
      </c>
      <c r="S981" s="7">
        <v>6.0510532358048152</v>
      </c>
      <c r="T981" s="8">
        <v>1.7610138554021899E-2</v>
      </c>
      <c r="U981" s="7">
        <v>2.919784522381573</v>
      </c>
    </row>
    <row r="982" spans="1:21" x14ac:dyDescent="0.3">
      <c r="A982" s="4">
        <v>55763</v>
      </c>
      <c r="B982" s="13">
        <f t="shared" si="27"/>
        <v>146.7957203</v>
      </c>
      <c r="C982" s="12">
        <v>25.31761501450092</v>
      </c>
      <c r="D982" s="5">
        <f t="shared" si="28"/>
        <v>9</v>
      </c>
      <c r="Q982" s="4">
        <v>55763</v>
      </c>
      <c r="R982" s="7">
        <v>84.83516971246874</v>
      </c>
      <c r="S982" s="7">
        <v>86.235847551988897</v>
      </c>
      <c r="T982" s="8">
        <v>0.76242063764842283</v>
      </c>
      <c r="U982" s="7">
        <v>82.889155115586945</v>
      </c>
    </row>
    <row r="983" spans="1:21" x14ac:dyDescent="0.3">
      <c r="A983" s="4">
        <v>55793</v>
      </c>
      <c r="B983" s="13">
        <f t="shared" si="27"/>
        <v>134.37596919999999</v>
      </c>
      <c r="C983" s="12">
        <v>82.577480014879328</v>
      </c>
      <c r="D983" s="5">
        <f t="shared" si="28"/>
        <v>10</v>
      </c>
      <c r="Q983" s="4">
        <v>55793</v>
      </c>
      <c r="R983" s="7">
        <v>202.67963398818128</v>
      </c>
      <c r="S983" s="7">
        <v>207.0158816593368</v>
      </c>
      <c r="T983" s="8">
        <v>0.68972327456167926</v>
      </c>
      <c r="U983" s="7">
        <v>201.67999292002344</v>
      </c>
    </row>
    <row r="984" spans="1:21" x14ac:dyDescent="0.3">
      <c r="A984" s="4">
        <v>55824</v>
      </c>
      <c r="B984" s="13">
        <f t="shared" si="27"/>
        <v>110.1229297</v>
      </c>
      <c r="C984" s="12">
        <v>12.354938502539881</v>
      </c>
      <c r="D984" s="5">
        <f t="shared" si="28"/>
        <v>11</v>
      </c>
      <c r="Q984" s="4">
        <v>55824</v>
      </c>
      <c r="R984" s="7">
        <v>26.777168188804879</v>
      </c>
      <c r="S984" s="7">
        <v>63.426157726773674</v>
      </c>
      <c r="T984" s="8">
        <v>9.4749478110562751E-3</v>
      </c>
      <c r="U984" s="7">
        <v>67.363805990964664</v>
      </c>
    </row>
    <row r="985" spans="1:21" x14ac:dyDescent="0.3">
      <c r="A985" s="4">
        <v>55854</v>
      </c>
      <c r="B985" s="13">
        <f t="shared" si="27"/>
        <v>54.116217499999998</v>
      </c>
      <c r="C985" s="12">
        <v>45.125249825650769</v>
      </c>
      <c r="D985" s="5">
        <f t="shared" si="28"/>
        <v>12</v>
      </c>
      <c r="Q985" s="4">
        <v>55854</v>
      </c>
      <c r="R985" s="7">
        <v>95.202312964195045</v>
      </c>
      <c r="S985" s="7">
        <v>111.53497152549789</v>
      </c>
      <c r="T985" s="8">
        <v>7.635283797503184E-2</v>
      </c>
      <c r="U985" s="7">
        <v>110.40446564174847</v>
      </c>
    </row>
    <row r="986" spans="1:21" x14ac:dyDescent="0.3">
      <c r="A986" s="4">
        <v>55885</v>
      </c>
      <c r="B986" s="13">
        <f t="shared" si="27"/>
        <v>68.824260300000006</v>
      </c>
      <c r="C986" s="12">
        <v>139.14369590347633</v>
      </c>
      <c r="D986" s="5">
        <f t="shared" si="28"/>
        <v>1</v>
      </c>
      <c r="Q986" s="4">
        <v>55885</v>
      </c>
      <c r="R986" s="7">
        <v>191.32641000315019</v>
      </c>
      <c r="S986" s="7">
        <v>193.37693361058558</v>
      </c>
      <c r="T986" s="8">
        <v>0.69718069301008168</v>
      </c>
      <c r="U986" s="7">
        <v>195.5468396320089</v>
      </c>
    </row>
    <row r="987" spans="1:21" x14ac:dyDescent="0.3">
      <c r="A987" s="4">
        <v>55916</v>
      </c>
      <c r="B987" s="13">
        <f t="shared" si="27"/>
        <v>3.9353321000000001</v>
      </c>
      <c r="C987" s="12">
        <v>79.310486884787665</v>
      </c>
      <c r="D987" s="5">
        <f t="shared" si="28"/>
        <v>2</v>
      </c>
      <c r="Q987" s="4">
        <v>55916</v>
      </c>
      <c r="R987" s="7">
        <v>154.99015047098422</v>
      </c>
      <c r="S987" s="7">
        <v>167.48234934849037</v>
      </c>
      <c r="T987" s="8">
        <v>0.42023521825224941</v>
      </c>
      <c r="U987" s="7">
        <v>166.31747782140084</v>
      </c>
    </row>
    <row r="988" spans="1:21" x14ac:dyDescent="0.3">
      <c r="A988" s="4">
        <v>55944</v>
      </c>
      <c r="B988" s="13">
        <f t="shared" si="27"/>
        <v>34.574915599999997</v>
      </c>
      <c r="C988" s="12">
        <v>24.425787458312694</v>
      </c>
      <c r="D988" s="5">
        <f t="shared" si="28"/>
        <v>3</v>
      </c>
      <c r="Q988" s="4">
        <v>55944</v>
      </c>
      <c r="R988" s="7">
        <v>52.049687928625126</v>
      </c>
      <c r="S988" s="7">
        <v>56.979816765125783</v>
      </c>
      <c r="T988" s="8">
        <v>6.0919427314832478E-2</v>
      </c>
      <c r="U988" s="7">
        <v>57.519549651418131</v>
      </c>
    </row>
    <row r="989" spans="1:21" x14ac:dyDescent="0.3">
      <c r="A989" s="4">
        <v>55975</v>
      </c>
      <c r="B989" s="13">
        <f t="shared" si="27"/>
        <v>159.09879670000001</v>
      </c>
      <c r="C989" s="12">
        <v>41.335208807140567</v>
      </c>
      <c r="D989" s="5">
        <f t="shared" si="28"/>
        <v>4</v>
      </c>
      <c r="Q989" s="4">
        <v>55975</v>
      </c>
      <c r="R989" s="7">
        <v>77.842951203549262</v>
      </c>
      <c r="S989" s="7">
        <v>70.910840205962216</v>
      </c>
      <c r="T989" s="8">
        <v>0.15248955585870169</v>
      </c>
      <c r="U989" s="7">
        <v>70.967079164807899</v>
      </c>
    </row>
    <row r="990" spans="1:21" x14ac:dyDescent="0.3">
      <c r="A990" s="4">
        <v>56005</v>
      </c>
      <c r="B990" s="13">
        <f t="shared" si="27"/>
        <v>220.115655</v>
      </c>
      <c r="C990" s="12">
        <v>6.7831766267772879</v>
      </c>
      <c r="D990" s="5">
        <f t="shared" si="28"/>
        <v>5</v>
      </c>
      <c r="Q990" s="4">
        <v>56005</v>
      </c>
      <c r="R990" s="7">
        <v>11.525959576971985</v>
      </c>
      <c r="S990" s="7">
        <v>16.66205437432156</v>
      </c>
      <c r="T990" s="8">
        <v>1.395978879424728E-2</v>
      </c>
      <c r="U990" s="7">
        <v>17.459646014741814</v>
      </c>
    </row>
    <row r="991" spans="1:21" x14ac:dyDescent="0.3">
      <c r="A991" s="4">
        <v>56036</v>
      </c>
      <c r="B991" s="13">
        <f t="shared" si="27"/>
        <v>150.13712390000001</v>
      </c>
      <c r="C991" s="12">
        <v>0.63519601917505564</v>
      </c>
      <c r="D991" s="5">
        <f t="shared" si="28"/>
        <v>6</v>
      </c>
      <c r="Q991" s="4">
        <v>56036</v>
      </c>
      <c r="R991" s="7">
        <v>0.64356533440437602</v>
      </c>
      <c r="S991" s="7">
        <v>3.1791681501209093</v>
      </c>
      <c r="T991" s="8">
        <v>7.9388757776354443E-2</v>
      </c>
      <c r="U991" s="7">
        <v>5.8169016131656557</v>
      </c>
    </row>
    <row r="992" spans="1:21" x14ac:dyDescent="0.3">
      <c r="A992" s="4">
        <v>56066</v>
      </c>
      <c r="B992" s="13">
        <f t="shared" si="27"/>
        <v>8.3972560999999999</v>
      </c>
      <c r="C992" s="12">
        <v>18.458097663824443</v>
      </c>
      <c r="D992" s="5">
        <f t="shared" si="28"/>
        <v>7</v>
      </c>
      <c r="Q992" s="4">
        <v>56066</v>
      </c>
      <c r="R992" s="7">
        <v>66.7940755326876</v>
      </c>
      <c r="S992" s="7">
        <v>57.613646336365008</v>
      </c>
      <c r="T992" s="8">
        <v>0.90147328190049048</v>
      </c>
      <c r="U992" s="7">
        <v>56.096164774718424</v>
      </c>
    </row>
    <row r="993" spans="1:21" x14ac:dyDescent="0.3">
      <c r="A993" s="4">
        <v>56097</v>
      </c>
      <c r="B993" s="13">
        <f t="shared" si="27"/>
        <v>71.705783100000005</v>
      </c>
      <c r="C993" s="12">
        <v>0.51765946122941509</v>
      </c>
      <c r="D993" s="5">
        <f t="shared" si="28"/>
        <v>8</v>
      </c>
      <c r="Q993" s="4">
        <v>56097</v>
      </c>
      <c r="R993" s="7">
        <v>2.8154572462927172</v>
      </c>
      <c r="S993" s="7">
        <v>23.048493447209768</v>
      </c>
      <c r="T993" s="8">
        <v>0.21386179021756249</v>
      </c>
      <c r="U993" s="7">
        <v>13.545883667038972</v>
      </c>
    </row>
    <row r="994" spans="1:21" x14ac:dyDescent="0.3">
      <c r="A994" s="4">
        <v>56128</v>
      </c>
      <c r="B994" s="13">
        <f t="shared" si="27"/>
        <v>21.899130799999998</v>
      </c>
      <c r="C994" s="12">
        <v>7.6560941379284531</v>
      </c>
      <c r="D994" s="5">
        <f t="shared" si="28"/>
        <v>9</v>
      </c>
      <c r="Q994" s="4">
        <v>56128</v>
      </c>
      <c r="R994" s="7">
        <v>25.654314008400327</v>
      </c>
      <c r="S994" s="7">
        <v>41.126537103263509</v>
      </c>
      <c r="T994" s="8">
        <v>0.42460535992255272</v>
      </c>
      <c r="U994" s="7">
        <v>40.402837190958579</v>
      </c>
    </row>
    <row r="995" spans="1:21" x14ac:dyDescent="0.3">
      <c r="A995" s="4">
        <v>56158</v>
      </c>
      <c r="B995" s="13">
        <f t="shared" si="27"/>
        <v>136.41058849999999</v>
      </c>
      <c r="C995" s="12">
        <v>0.38621405501544237</v>
      </c>
      <c r="D995" s="5">
        <f t="shared" si="28"/>
        <v>10</v>
      </c>
      <c r="Q995" s="4">
        <v>56158</v>
      </c>
      <c r="R995" s="7">
        <v>0.947930637959848</v>
      </c>
      <c r="S995" s="7">
        <v>9.4245610632144388</v>
      </c>
      <c r="T995" s="8">
        <v>2.0336281957161494E-3</v>
      </c>
      <c r="U995" s="7">
        <v>18.269866727142812</v>
      </c>
    </row>
    <row r="996" spans="1:21" x14ac:dyDescent="0.3">
      <c r="A996" s="4">
        <v>56189</v>
      </c>
      <c r="B996" s="13">
        <f t="shared" si="27"/>
        <v>137.04698339999999</v>
      </c>
      <c r="C996" s="12">
        <v>43.671845574863219</v>
      </c>
      <c r="D996" s="5">
        <f t="shared" si="28"/>
        <v>11</v>
      </c>
      <c r="Q996" s="4">
        <v>56189</v>
      </c>
      <c r="R996" s="7">
        <v>94.651086594500171</v>
      </c>
      <c r="S996" s="7">
        <v>135.32658283050446</v>
      </c>
      <c r="T996" s="8">
        <v>0.1716754506970174</v>
      </c>
      <c r="U996" s="7">
        <v>132.97961494461998</v>
      </c>
    </row>
    <row r="997" spans="1:21" x14ac:dyDescent="0.3">
      <c r="A997" s="4">
        <v>56219</v>
      </c>
      <c r="B997" s="13">
        <f t="shared" si="27"/>
        <v>3.6915695999999998</v>
      </c>
      <c r="C997" s="12">
        <v>97.686994343530486</v>
      </c>
      <c r="D997" s="5">
        <f t="shared" si="28"/>
        <v>12</v>
      </c>
      <c r="Q997" s="4">
        <v>56219</v>
      </c>
      <c r="R997" s="7">
        <v>206.09365807295498</v>
      </c>
      <c r="S997" s="7">
        <v>213.54645477829618</v>
      </c>
      <c r="T997" s="8">
        <v>0.46982714052985908</v>
      </c>
      <c r="U997" s="7">
        <v>211.52167418791302</v>
      </c>
    </row>
    <row r="998" spans="1:21" x14ac:dyDescent="0.3">
      <c r="A998" s="4">
        <v>56250</v>
      </c>
      <c r="B998" s="13">
        <f t="shared" si="27"/>
        <v>3.9328050999999999</v>
      </c>
      <c r="C998" s="12">
        <v>84.576268773525939</v>
      </c>
      <c r="D998" s="5">
        <f t="shared" si="28"/>
        <v>1</v>
      </c>
      <c r="Q998" s="4">
        <v>56250</v>
      </c>
      <c r="R998" s="7">
        <v>116.29469643472343</v>
      </c>
      <c r="S998" s="7">
        <v>100.29055314430384</v>
      </c>
      <c r="T998" s="8">
        <v>0.29810187739873373</v>
      </c>
      <c r="U998" s="7">
        <v>100.61728095797956</v>
      </c>
    </row>
    <row r="999" spans="1:21" x14ac:dyDescent="0.3">
      <c r="A999" s="4">
        <v>56281</v>
      </c>
      <c r="B999" s="13">
        <f t="shared" si="27"/>
        <v>64.961285000000004</v>
      </c>
      <c r="C999" s="12">
        <v>46.60005401819938</v>
      </c>
      <c r="D999" s="5">
        <f t="shared" si="28"/>
        <v>2</v>
      </c>
      <c r="Q999" s="4">
        <v>56281</v>
      </c>
      <c r="R999" s="7">
        <v>91.066763903854607</v>
      </c>
      <c r="S999" s="7">
        <v>110.94356754826234</v>
      </c>
      <c r="T999" s="8">
        <v>0.15667320927111983</v>
      </c>
      <c r="U999" s="7">
        <v>111.68381000455847</v>
      </c>
    </row>
    <row r="1000" spans="1:21" x14ac:dyDescent="0.3">
      <c r="A1000" s="4">
        <v>56309</v>
      </c>
      <c r="B1000" s="13">
        <f t="shared" si="27"/>
        <v>28.739776299999999</v>
      </c>
      <c r="C1000" s="12">
        <v>65.357481886167193</v>
      </c>
      <c r="D1000" s="5">
        <f t="shared" si="28"/>
        <v>3</v>
      </c>
      <c r="Q1000" s="4">
        <v>56309</v>
      </c>
      <c r="R1000" s="7">
        <v>139.27233837523806</v>
      </c>
      <c r="S1000" s="7">
        <v>141.39745234976087</v>
      </c>
      <c r="T1000" s="8">
        <v>0.51096017790938419</v>
      </c>
      <c r="U1000" s="7">
        <v>141.00086083863513</v>
      </c>
    </row>
    <row r="1001" spans="1:21" x14ac:dyDescent="0.3">
      <c r="A1001" s="4">
        <v>56340</v>
      </c>
      <c r="B1001" s="13">
        <f t="shared" si="27"/>
        <v>114.8667864</v>
      </c>
      <c r="C1001" s="12">
        <v>48.869911639485508</v>
      </c>
      <c r="D1001" s="5">
        <f t="shared" si="28"/>
        <v>4</v>
      </c>
      <c r="Q1001" s="4">
        <v>56340</v>
      </c>
      <c r="R1001" s="7">
        <v>92.032392162902809</v>
      </c>
      <c r="S1001" s="7">
        <v>85.698943886170611</v>
      </c>
      <c r="T1001" s="8">
        <v>0.23699037733056688</v>
      </c>
      <c r="U1001" s="7">
        <v>86.024597239817837</v>
      </c>
    </row>
    <row r="1002" spans="1:21" x14ac:dyDescent="0.3">
      <c r="A1002" s="4">
        <v>56370</v>
      </c>
      <c r="B1002" s="13">
        <f t="shared" si="27"/>
        <v>233.36038550000001</v>
      </c>
      <c r="C1002" s="12">
        <v>46.717198920669162</v>
      </c>
      <c r="D1002" s="5">
        <f t="shared" si="28"/>
        <v>5</v>
      </c>
      <c r="Q1002" s="4">
        <v>56370</v>
      </c>
      <c r="R1002" s="7">
        <v>79.381766970856035</v>
      </c>
      <c r="S1002" s="7">
        <v>85.370917889105783</v>
      </c>
      <c r="T1002" s="8">
        <v>0.42744614240828238</v>
      </c>
      <c r="U1002" s="7">
        <v>84.277235639852549</v>
      </c>
    </row>
    <row r="1003" spans="1:21" x14ac:dyDescent="0.3">
      <c r="A1003" s="4">
        <v>56401</v>
      </c>
      <c r="B1003" s="13">
        <f t="shared" si="27"/>
        <v>452.79219110000003</v>
      </c>
      <c r="C1003" s="12">
        <v>1.0214146686848844</v>
      </c>
      <c r="D1003" s="5">
        <f t="shared" si="28"/>
        <v>6</v>
      </c>
      <c r="Q1003" s="4">
        <v>56401</v>
      </c>
      <c r="R1003" s="7">
        <v>1.03487278410755</v>
      </c>
      <c r="S1003" s="7">
        <v>4.2733435246906826</v>
      </c>
      <c r="T1003" s="8">
        <v>0.1055632210619941</v>
      </c>
      <c r="U1003" s="7">
        <v>7.0588533634716049</v>
      </c>
    </row>
    <row r="1004" spans="1:21" x14ac:dyDescent="0.3">
      <c r="A1004" s="4">
        <v>56431</v>
      </c>
      <c r="B1004" s="13">
        <f t="shared" si="27"/>
        <v>121.4150317</v>
      </c>
      <c r="C1004" s="12">
        <v>2.0874530313449213</v>
      </c>
      <c r="D1004" s="5">
        <f t="shared" si="28"/>
        <v>7</v>
      </c>
      <c r="Q1004" s="4">
        <v>56431</v>
      </c>
      <c r="R1004" s="7">
        <v>7.5538388617292185</v>
      </c>
      <c r="S1004" s="7">
        <v>11.880125309663828</v>
      </c>
      <c r="T1004" s="8">
        <v>0.35033427224002173</v>
      </c>
      <c r="U1004" s="7">
        <v>13.314423818426551</v>
      </c>
    </row>
    <row r="1005" spans="1:21" x14ac:dyDescent="0.3">
      <c r="A1005" s="4">
        <v>56462</v>
      </c>
      <c r="B1005" s="13">
        <f t="shared" si="27"/>
        <v>124.7673716</v>
      </c>
      <c r="C1005" s="12">
        <v>0.67005963928750001</v>
      </c>
      <c r="D1005" s="5">
        <f t="shared" si="28"/>
        <v>8</v>
      </c>
      <c r="Q1005" s="4">
        <v>56462</v>
      </c>
      <c r="R1005" s="7">
        <v>3.6443345638846751</v>
      </c>
      <c r="S1005" s="7">
        <v>24.804358726312195</v>
      </c>
      <c r="T1005" s="8">
        <v>0.24435253041763774</v>
      </c>
      <c r="U1005" s="7">
        <v>14.915632656990685</v>
      </c>
    </row>
    <row r="1006" spans="1:21" x14ac:dyDescent="0.3">
      <c r="A1006" s="4">
        <v>56493</v>
      </c>
      <c r="B1006" s="13">
        <f t="shared" si="27"/>
        <v>127.67114960000001</v>
      </c>
      <c r="C1006" s="12">
        <v>1.24207659428066</v>
      </c>
      <c r="D1006" s="5">
        <f t="shared" si="28"/>
        <v>9</v>
      </c>
      <c r="Q1006" s="4">
        <v>56493</v>
      </c>
      <c r="R1006" s="7">
        <v>4.1619946670068337</v>
      </c>
      <c r="S1006" s="7">
        <v>13.339123321723539</v>
      </c>
      <c r="T1006" s="8">
        <v>0.13236638491603578</v>
      </c>
      <c r="U1006" s="7">
        <v>15.677645383657449</v>
      </c>
    </row>
    <row r="1007" spans="1:21" x14ac:dyDescent="0.3">
      <c r="A1007" s="4">
        <v>56523</v>
      </c>
      <c r="B1007" s="13">
        <f t="shared" si="27"/>
        <v>207.521795</v>
      </c>
      <c r="C1007" s="12">
        <v>20.003194133460052</v>
      </c>
      <c r="D1007" s="5">
        <f t="shared" si="28"/>
        <v>10</v>
      </c>
      <c r="Q1007" s="4">
        <v>56523</v>
      </c>
      <c r="R1007" s="7">
        <v>49.096195050196492</v>
      </c>
      <c r="S1007" s="7">
        <v>91.499534418921115</v>
      </c>
      <c r="T1007" s="8">
        <v>0.20730087217978768</v>
      </c>
      <c r="U1007" s="7">
        <v>95.020726508930991</v>
      </c>
    </row>
    <row r="1008" spans="1:21" x14ac:dyDescent="0.3">
      <c r="A1008" s="4">
        <v>56554</v>
      </c>
      <c r="B1008" s="13">
        <f t="shared" si="27"/>
        <v>176.88675570000001</v>
      </c>
      <c r="C1008" s="12">
        <v>15.64165639865678</v>
      </c>
      <c r="D1008" s="5">
        <f t="shared" si="28"/>
        <v>11</v>
      </c>
      <c r="Q1008" s="4">
        <v>56554</v>
      </c>
      <c r="R1008" s="7">
        <v>33.900554345311008</v>
      </c>
      <c r="S1008" s="7">
        <v>73.072174081828663</v>
      </c>
      <c r="T1008" s="8">
        <v>1.7132616105792059E-2</v>
      </c>
      <c r="U1008" s="7">
        <v>76.030767279139724</v>
      </c>
    </row>
    <row r="1009" spans="1:21" x14ac:dyDescent="0.3">
      <c r="A1009" s="4">
        <v>56584</v>
      </c>
      <c r="B1009" s="13">
        <f t="shared" si="27"/>
        <v>21.2355646</v>
      </c>
      <c r="C1009" s="12">
        <v>189.17094322387121</v>
      </c>
      <c r="D1009" s="5">
        <f t="shared" si="28"/>
        <v>12</v>
      </c>
      <c r="Q1009" s="4">
        <v>56584</v>
      </c>
      <c r="R1009" s="7">
        <v>399.10053484720481</v>
      </c>
      <c r="S1009" s="7">
        <v>372.28058356374459</v>
      </c>
      <c r="T1009" s="8">
        <v>0.91709012791572353</v>
      </c>
      <c r="U1009" s="7">
        <v>375.74298483190995</v>
      </c>
    </row>
    <row r="1010" spans="1:21" x14ac:dyDescent="0.3">
      <c r="A1010" s="4">
        <v>56615</v>
      </c>
      <c r="B1010" s="13">
        <f t="shared" si="27"/>
        <v>20.664609899999999</v>
      </c>
      <c r="C1010" s="12">
        <v>88.091520150192011</v>
      </c>
      <c r="D1010" s="5">
        <f t="shared" si="28"/>
        <v>1</v>
      </c>
      <c r="Q1010" s="4">
        <v>56615</v>
      </c>
      <c r="R1010" s="7">
        <v>121.1282637896017</v>
      </c>
      <c r="S1010" s="7">
        <v>105.823908195805</v>
      </c>
      <c r="T1010" s="8">
        <v>0.32617814776814158</v>
      </c>
      <c r="U1010" s="7">
        <v>106.37602335037089</v>
      </c>
    </row>
    <row r="1011" spans="1:21" x14ac:dyDescent="0.3">
      <c r="A1011" s="4">
        <v>56646</v>
      </c>
      <c r="B1011" s="13">
        <f t="shared" si="27"/>
        <v>63.359983499999998</v>
      </c>
      <c r="C1011" s="12">
        <v>5.0328469200167101E-3</v>
      </c>
      <c r="D1011" s="5">
        <f t="shared" si="28"/>
        <v>2</v>
      </c>
      <c r="Q1011" s="4">
        <v>56646</v>
      </c>
      <c r="R1011" s="7">
        <v>9.8352907928048183E-3</v>
      </c>
      <c r="S1011" s="7">
        <v>9.3968138362555353E-2</v>
      </c>
      <c r="T1011" s="8">
        <v>9.9481167026596446E-14</v>
      </c>
      <c r="U1011" s="7">
        <v>0.3216104181136204</v>
      </c>
    </row>
    <row r="1012" spans="1:21" x14ac:dyDescent="0.3">
      <c r="A1012" s="4">
        <v>56674</v>
      </c>
      <c r="B1012" s="13">
        <f t="shared" si="27"/>
        <v>18.068093399999999</v>
      </c>
      <c r="C1012" s="12">
        <v>56.660128198564131</v>
      </c>
      <c r="D1012" s="5">
        <f t="shared" si="28"/>
        <v>3</v>
      </c>
      <c r="Q1012" s="4">
        <v>56674</v>
      </c>
      <c r="R1012" s="7">
        <v>120.73887057948218</v>
      </c>
      <c r="S1012" s="7">
        <v>123.92873974111718</v>
      </c>
      <c r="T1012" s="8">
        <v>0.40846086444587648</v>
      </c>
      <c r="U1012" s="7">
        <v>123.63793371419344</v>
      </c>
    </row>
    <row r="1013" spans="1:21" x14ac:dyDescent="0.3">
      <c r="A1013" s="4">
        <v>56705</v>
      </c>
      <c r="B1013" s="13">
        <f t="shared" si="27"/>
        <v>151.88512929999999</v>
      </c>
      <c r="C1013" s="12">
        <v>79.880101955495732</v>
      </c>
      <c r="D1013" s="5">
        <f t="shared" si="28"/>
        <v>4</v>
      </c>
      <c r="Q1013" s="4">
        <v>56705</v>
      </c>
      <c r="R1013" s="7">
        <v>150.43114715273992</v>
      </c>
      <c r="S1013" s="7">
        <v>149.40712477186685</v>
      </c>
      <c r="T1013" s="8">
        <v>0.61534739098171476</v>
      </c>
      <c r="U1013" s="7">
        <v>150.17868368791272</v>
      </c>
    </row>
    <row r="1014" spans="1:21" x14ac:dyDescent="0.3">
      <c r="A1014" s="4">
        <v>56735</v>
      </c>
      <c r="B1014" s="13">
        <f t="shared" si="27"/>
        <v>213.2590141</v>
      </c>
      <c r="C1014" s="12">
        <v>34.032316177035632</v>
      </c>
      <c r="D1014" s="5">
        <f t="shared" si="28"/>
        <v>5</v>
      </c>
      <c r="Q1014" s="4">
        <v>56735</v>
      </c>
      <c r="R1014" s="7">
        <v>57.827640668941903</v>
      </c>
      <c r="S1014" s="7">
        <v>65.285220304056864</v>
      </c>
      <c r="T1014" s="8">
        <v>0.27733194607621348</v>
      </c>
      <c r="U1014" s="7">
        <v>64.553973378388847</v>
      </c>
    </row>
    <row r="1015" spans="1:21" x14ac:dyDescent="0.3">
      <c r="A1015" s="4">
        <v>56766</v>
      </c>
      <c r="B1015" s="13">
        <f t="shared" si="27"/>
        <v>86.718637700000002</v>
      </c>
      <c r="C1015" s="12">
        <v>6.5018948735087188</v>
      </c>
      <c r="D1015" s="5">
        <f t="shared" si="28"/>
        <v>6</v>
      </c>
      <c r="Q1015" s="4">
        <v>56766</v>
      </c>
      <c r="R1015" s="7">
        <v>6.5875635586729748</v>
      </c>
      <c r="S1015" s="7">
        <v>13.529990806261724</v>
      </c>
      <c r="T1015" s="8">
        <v>0.31108702122253717</v>
      </c>
      <c r="U1015" s="7">
        <v>15.869588572176699</v>
      </c>
    </row>
    <row r="1016" spans="1:21" x14ac:dyDescent="0.3">
      <c r="A1016" s="4">
        <v>56796</v>
      </c>
      <c r="B1016" s="13">
        <f t="shared" si="27"/>
        <v>51.651310000000002</v>
      </c>
      <c r="C1016" s="12">
        <v>3.2787705848022703</v>
      </c>
      <c r="D1016" s="5">
        <f t="shared" si="28"/>
        <v>7</v>
      </c>
      <c r="Q1016" s="4">
        <v>56796</v>
      </c>
      <c r="R1016" s="7">
        <v>11.864844042127618</v>
      </c>
      <c r="S1016" s="7">
        <v>16.47682702633303</v>
      </c>
      <c r="T1016" s="8">
        <v>0.45117272758464672</v>
      </c>
      <c r="U1016" s="7">
        <v>17.513833633620113</v>
      </c>
    </row>
    <row r="1017" spans="1:21" x14ac:dyDescent="0.3">
      <c r="A1017" s="4">
        <v>56827</v>
      </c>
      <c r="B1017" s="13">
        <f t="shared" si="27"/>
        <v>61.366273900000003</v>
      </c>
      <c r="C1017" s="12">
        <v>14.619782776571801</v>
      </c>
      <c r="D1017" s="5">
        <f t="shared" si="28"/>
        <v>8</v>
      </c>
      <c r="Q1017" s="4">
        <v>56827</v>
      </c>
      <c r="R1017" s="7">
        <v>79.514384340176761</v>
      </c>
      <c r="S1017" s="7">
        <v>59.627313942391112</v>
      </c>
      <c r="T1017" s="8">
        <v>0.88321559366481006</v>
      </c>
      <c r="U1017" s="7">
        <v>61.208533246507542</v>
      </c>
    </row>
    <row r="1018" spans="1:21" x14ac:dyDescent="0.3">
      <c r="A1018" s="4">
        <v>56858</v>
      </c>
      <c r="B1018" s="13">
        <f t="shared" si="27"/>
        <v>109.5191387</v>
      </c>
      <c r="C1018" s="12">
        <v>6.7567161895567631</v>
      </c>
      <c r="D1018" s="5">
        <f t="shared" si="28"/>
        <v>9</v>
      </c>
      <c r="Q1018" s="4">
        <v>56858</v>
      </c>
      <c r="R1018" s="7">
        <v>22.640646218521095</v>
      </c>
      <c r="S1018" s="7">
        <v>38.064757645325244</v>
      </c>
      <c r="T1018" s="8">
        <v>0.39459934180349659</v>
      </c>
      <c r="U1018" s="7">
        <v>37.677685304876249</v>
      </c>
    </row>
    <row r="1019" spans="1:21" x14ac:dyDescent="0.3">
      <c r="A1019" s="4">
        <v>56888</v>
      </c>
      <c r="B1019" s="13">
        <f t="shared" si="27"/>
        <v>299.96007520000001</v>
      </c>
      <c r="C1019" s="12">
        <v>120.74902412714424</v>
      </c>
      <c r="D1019" s="5">
        <f t="shared" si="28"/>
        <v>10</v>
      </c>
      <c r="Q1019" s="4">
        <v>56888</v>
      </c>
      <c r="R1019" s="7">
        <v>296.36854999825493</v>
      </c>
      <c r="S1019" s="7">
        <v>257.65054731928558</v>
      </c>
      <c r="T1019" s="8">
        <v>0.8315312297871621</v>
      </c>
      <c r="U1019" s="7">
        <v>253.18520146200549</v>
      </c>
    </row>
    <row r="1020" spans="1:21" x14ac:dyDescent="0.3">
      <c r="A1020" s="4">
        <v>56919</v>
      </c>
      <c r="B1020" s="13">
        <f t="shared" si="27"/>
        <v>137.74359010000001</v>
      </c>
      <c r="C1020" s="12">
        <v>2.7723015082301474</v>
      </c>
      <c r="D1020" s="5">
        <f t="shared" si="28"/>
        <v>11</v>
      </c>
      <c r="Q1020" s="4">
        <v>56919</v>
      </c>
      <c r="R1020" s="7">
        <v>6.0084786128798031</v>
      </c>
      <c r="S1020" s="7">
        <v>25.867364242960196</v>
      </c>
      <c r="T1020" s="8">
        <v>1.7554924869413199E-4</v>
      </c>
      <c r="U1020" s="7">
        <v>32.766055197035314</v>
      </c>
    </row>
    <row r="1021" spans="1:21" x14ac:dyDescent="0.3">
      <c r="A1021" s="4">
        <v>56949</v>
      </c>
      <c r="B1021" s="13">
        <f t="shared" si="27"/>
        <v>58.077540999999997</v>
      </c>
      <c r="C1021" s="12">
        <v>132.75756138609714</v>
      </c>
      <c r="D1021" s="5">
        <f t="shared" si="28"/>
        <v>12</v>
      </c>
      <c r="Q1021" s="4">
        <v>56949</v>
      </c>
      <c r="R1021" s="7">
        <v>280.08325618749717</v>
      </c>
      <c r="S1021" s="7">
        <v>276.39534031129494</v>
      </c>
      <c r="T1021" s="8">
        <v>0.71274524841245401</v>
      </c>
      <c r="U1021" s="7">
        <v>275.57505680278808</v>
      </c>
    </row>
    <row r="1022" spans="1:21" x14ac:dyDescent="0.3">
      <c r="A1022" s="4">
        <v>56980</v>
      </c>
      <c r="B1022" s="13">
        <f t="shared" si="27"/>
        <v>33.199351999999998</v>
      </c>
      <c r="C1022" s="12">
        <v>194.26956900861106</v>
      </c>
      <c r="D1022" s="5">
        <f t="shared" si="28"/>
        <v>1</v>
      </c>
      <c r="Q1022" s="4">
        <v>56980</v>
      </c>
      <c r="R1022" s="7">
        <v>267.12600215147927</v>
      </c>
      <c r="S1022" s="7">
        <v>300.29864250827427</v>
      </c>
      <c r="T1022" s="8">
        <v>0.9071407087020118</v>
      </c>
      <c r="U1022" s="7">
        <v>299.58007633264333</v>
      </c>
    </row>
    <row r="1023" spans="1:21" x14ac:dyDescent="0.3">
      <c r="A1023" s="4">
        <v>57011</v>
      </c>
      <c r="B1023" s="13">
        <f t="shared" si="27"/>
        <v>0.33446779999999998</v>
      </c>
      <c r="C1023" s="12">
        <v>80.223755480255846</v>
      </c>
      <c r="D1023" s="5">
        <f t="shared" si="28"/>
        <v>2</v>
      </c>
      <c r="Q1023" s="4">
        <v>57011</v>
      </c>
      <c r="R1023" s="7">
        <v>156.77487834987949</v>
      </c>
      <c r="S1023" s="7">
        <v>168.97410724244034</v>
      </c>
      <c r="T1023" s="8">
        <v>0.42762832727765693</v>
      </c>
      <c r="U1023" s="7">
        <v>167.77746871505798</v>
      </c>
    </row>
    <row r="1024" spans="1:21" x14ac:dyDescent="0.3">
      <c r="A1024" s="4">
        <v>57040</v>
      </c>
      <c r="B1024" s="13">
        <f t="shared" ref="B1024:B1087" si="29">B643</f>
        <v>30.723503600000001</v>
      </c>
      <c r="C1024" s="12">
        <v>66.830593615304693</v>
      </c>
      <c r="D1024" s="5">
        <f t="shared" si="28"/>
        <v>3</v>
      </c>
      <c r="Q1024" s="4">
        <v>57040</v>
      </c>
      <c r="R1024" s="7">
        <v>142.4114390456449</v>
      </c>
      <c r="S1024" s="7">
        <v>144.33792938413404</v>
      </c>
      <c r="T1024" s="8">
        <v>0.52750460099326391</v>
      </c>
      <c r="U1024" s="7">
        <v>143.9288244543034</v>
      </c>
    </row>
    <row r="1025" spans="1:21" x14ac:dyDescent="0.3">
      <c r="A1025" s="4">
        <v>57071</v>
      </c>
      <c r="B1025" s="13">
        <f t="shared" si="29"/>
        <v>215.1541197</v>
      </c>
      <c r="C1025" s="12">
        <v>51.370704313740227</v>
      </c>
      <c r="D1025" s="5">
        <f t="shared" si="28"/>
        <v>4</v>
      </c>
      <c r="Q1025" s="4">
        <v>57071</v>
      </c>
      <c r="R1025" s="7">
        <v>96.741914328872241</v>
      </c>
      <c r="S1025" s="7">
        <v>90.676170643837494</v>
      </c>
      <c r="T1025" s="8">
        <v>0.26744111191703962</v>
      </c>
      <c r="U1025" s="7">
        <v>91.079590398673702</v>
      </c>
    </row>
    <row r="1026" spans="1:21" x14ac:dyDescent="0.3">
      <c r="A1026" s="4">
        <v>57101</v>
      </c>
      <c r="B1026" s="13">
        <f t="shared" si="29"/>
        <v>137.2045009</v>
      </c>
      <c r="C1026" s="12">
        <v>7.7890458691399447</v>
      </c>
      <c r="D1026" s="5">
        <f t="shared" si="28"/>
        <v>5</v>
      </c>
      <c r="Q1026" s="4">
        <v>57101</v>
      </c>
      <c r="R1026" s="7">
        <v>13.235130495715934</v>
      </c>
      <c r="S1026" s="7">
        <v>18.731585896773815</v>
      </c>
      <c r="T1026" s="8">
        <v>1.859598570298051E-2</v>
      </c>
      <c r="U1026" s="7">
        <v>19.478017612457013</v>
      </c>
    </row>
    <row r="1027" spans="1:21" x14ac:dyDescent="0.3">
      <c r="A1027" s="4">
        <v>57132</v>
      </c>
      <c r="B1027" s="13">
        <f t="shared" si="29"/>
        <v>219.51549220000001</v>
      </c>
      <c r="C1027" s="12">
        <v>4.5293663097254599</v>
      </c>
      <c r="D1027" s="5">
        <f t="shared" ref="D1027:D1090" si="30">MONTH(A1027)</f>
        <v>6</v>
      </c>
      <c r="Q1027" s="4">
        <v>57132</v>
      </c>
      <c r="R1027" s="7">
        <v>4.5890450439914394</v>
      </c>
      <c r="S1027" s="7">
        <v>10.802791122619841</v>
      </c>
      <c r="T1027" s="8">
        <v>0.25356087946508898</v>
      </c>
      <c r="U1027" s="7">
        <v>13.42467469411427</v>
      </c>
    </row>
    <row r="1028" spans="1:21" x14ac:dyDescent="0.3">
      <c r="A1028" s="4">
        <v>57162</v>
      </c>
      <c r="B1028" s="13">
        <f t="shared" si="29"/>
        <v>150.35672080000001</v>
      </c>
      <c r="C1028" s="12">
        <v>2.6182174454748469E-12</v>
      </c>
      <c r="D1028" s="5">
        <f t="shared" si="30"/>
        <v>7</v>
      </c>
      <c r="Q1028" s="4">
        <v>57162</v>
      </c>
      <c r="R1028" s="7">
        <v>9.4745090745073348E-12</v>
      </c>
      <c r="S1028" s="7">
        <v>2.8391118889879226E-8</v>
      </c>
      <c r="T1028" s="8">
        <v>7.0875055316512272E-9</v>
      </c>
      <c r="U1028" s="7">
        <v>1.5013833934514987E-5</v>
      </c>
    </row>
    <row r="1029" spans="1:21" x14ac:dyDescent="0.3">
      <c r="A1029" s="4">
        <v>57193</v>
      </c>
      <c r="B1029" s="13">
        <f t="shared" si="29"/>
        <v>226.221993</v>
      </c>
      <c r="C1029" s="12">
        <v>10.962664178805424</v>
      </c>
      <c r="D1029" s="5">
        <f t="shared" si="30"/>
        <v>8</v>
      </c>
      <c r="Q1029" s="4">
        <v>57193</v>
      </c>
      <c r="R1029" s="7">
        <v>59.623970220864358</v>
      </c>
      <c r="S1029" s="7">
        <v>54.938113531448934</v>
      </c>
      <c r="T1029" s="8">
        <v>0.82347891180847521</v>
      </c>
      <c r="U1029" s="7">
        <v>52.121917197349781</v>
      </c>
    </row>
    <row r="1030" spans="1:21" x14ac:dyDescent="0.3">
      <c r="A1030" s="4">
        <v>57224</v>
      </c>
      <c r="B1030" s="13">
        <f t="shared" si="29"/>
        <v>130.26435620000001</v>
      </c>
      <c r="C1030" s="12">
        <v>1.1151079506817039</v>
      </c>
      <c r="D1030" s="5">
        <f t="shared" si="30"/>
        <v>9</v>
      </c>
      <c r="Q1030" s="4">
        <v>57224</v>
      </c>
      <c r="R1030" s="7">
        <v>3.7365435958174675</v>
      </c>
      <c r="S1030" s="7">
        <v>12.477693955888226</v>
      </c>
      <c r="T1030" s="8">
        <v>0.1230487183451487</v>
      </c>
      <c r="U1030" s="7">
        <v>14.877234918217644</v>
      </c>
    </row>
    <row r="1031" spans="1:21" x14ac:dyDescent="0.3">
      <c r="A1031" s="4">
        <v>57254</v>
      </c>
      <c r="B1031" s="13">
        <f t="shared" si="29"/>
        <v>79.208815700000002</v>
      </c>
      <c r="C1031" s="12">
        <v>98.11279575806121</v>
      </c>
      <c r="D1031" s="5">
        <f t="shared" si="30"/>
        <v>10</v>
      </c>
      <c r="Q1031" s="4">
        <v>57254</v>
      </c>
      <c r="R1031" s="7">
        <v>240.80978894267471</v>
      </c>
      <c r="S1031" s="7">
        <v>228.61982057947989</v>
      </c>
      <c r="T1031" s="8">
        <v>0.75753951643952733</v>
      </c>
      <c r="U1031" s="7">
        <v>223.25814713063502</v>
      </c>
    </row>
    <row r="1032" spans="1:21" x14ac:dyDescent="0.3">
      <c r="A1032" s="4">
        <v>57285</v>
      </c>
      <c r="B1032" s="13">
        <f t="shared" si="29"/>
        <v>165.0778636</v>
      </c>
      <c r="C1032" s="12">
        <v>227.50887461006641</v>
      </c>
      <c r="D1032" s="5">
        <f t="shared" si="30"/>
        <v>11</v>
      </c>
      <c r="Q1032" s="4">
        <v>57285</v>
      </c>
      <c r="R1032" s="7">
        <v>493.08569189778564</v>
      </c>
      <c r="S1032" s="7">
        <v>364.4093195783081</v>
      </c>
      <c r="T1032" s="8">
        <v>0.97034711319756284</v>
      </c>
      <c r="U1032" s="7">
        <v>378.4793362274595</v>
      </c>
    </row>
    <row r="1033" spans="1:21" x14ac:dyDescent="0.3">
      <c r="A1033" s="4">
        <v>57315</v>
      </c>
      <c r="B1033" s="13">
        <f t="shared" si="29"/>
        <v>24.596682999999999</v>
      </c>
      <c r="C1033" s="12">
        <v>108.83654284989468</v>
      </c>
      <c r="D1033" s="5">
        <f t="shared" si="30"/>
        <v>12</v>
      </c>
      <c r="Q1033" s="4">
        <v>57315</v>
      </c>
      <c r="R1033" s="7">
        <v>229.61624931429998</v>
      </c>
      <c r="S1033" s="7">
        <v>233.86573009934298</v>
      </c>
      <c r="T1033" s="8">
        <v>0.55620846324164053</v>
      </c>
      <c r="U1033" s="7">
        <v>232.08566866476755</v>
      </c>
    </row>
    <row r="1034" spans="1:21" x14ac:dyDescent="0.3">
      <c r="A1034" s="4">
        <v>57346</v>
      </c>
      <c r="B1034" s="13">
        <f t="shared" si="29"/>
        <v>2.9321012</v>
      </c>
      <c r="C1034" s="12">
        <v>43.667260726215346</v>
      </c>
      <c r="D1034" s="5">
        <f t="shared" si="30"/>
        <v>1</v>
      </c>
      <c r="Q1034" s="4">
        <v>57346</v>
      </c>
      <c r="R1034" s="7">
        <v>60.043684876776389</v>
      </c>
      <c r="S1034" s="7">
        <v>41.941307579357151</v>
      </c>
      <c r="T1034" s="8">
        <v>4.5443851280280591E-2</v>
      </c>
      <c r="U1034" s="7">
        <v>39.459339509770722</v>
      </c>
    </row>
    <row r="1035" spans="1:21" x14ac:dyDescent="0.3">
      <c r="A1035" s="4">
        <v>57377</v>
      </c>
      <c r="B1035" s="13">
        <f t="shared" si="29"/>
        <v>7.6125645999999998</v>
      </c>
      <c r="C1035" s="12">
        <v>171.86897573992621</v>
      </c>
      <c r="D1035" s="5">
        <f t="shared" si="30"/>
        <v>2</v>
      </c>
      <c r="Q1035" s="4">
        <v>57377</v>
      </c>
      <c r="R1035" s="7">
        <v>335.8698131549923</v>
      </c>
      <c r="S1035" s="7">
        <v>304.85889022517864</v>
      </c>
      <c r="T1035" s="8">
        <v>0.89457956547805484</v>
      </c>
      <c r="U1035" s="7">
        <v>305.23913303581924</v>
      </c>
    </row>
    <row r="1036" spans="1:21" x14ac:dyDescent="0.3">
      <c r="A1036" s="4">
        <v>57405</v>
      </c>
      <c r="B1036" s="13">
        <f t="shared" si="29"/>
        <v>32.972645800000002</v>
      </c>
      <c r="C1036" s="12">
        <v>115.74849081225686</v>
      </c>
      <c r="D1036" s="5">
        <f t="shared" si="30"/>
        <v>3</v>
      </c>
      <c r="Q1036" s="4">
        <v>57405</v>
      </c>
      <c r="R1036" s="7">
        <v>246.6521431609755</v>
      </c>
      <c r="S1036" s="7">
        <v>239.69411698690834</v>
      </c>
      <c r="T1036" s="8">
        <v>0.88457215954466006</v>
      </c>
      <c r="U1036" s="7">
        <v>239.71053830934463</v>
      </c>
    </row>
    <row r="1037" spans="1:21" x14ac:dyDescent="0.3">
      <c r="A1037" s="4">
        <v>57436</v>
      </c>
      <c r="B1037" s="13">
        <f t="shared" si="29"/>
        <v>101.2317037</v>
      </c>
      <c r="C1037" s="12">
        <v>93.638938385993342</v>
      </c>
      <c r="D1037" s="5">
        <f t="shared" si="30"/>
        <v>4</v>
      </c>
      <c r="Q1037" s="4">
        <v>57436</v>
      </c>
      <c r="R1037" s="7">
        <v>176.34194968125706</v>
      </c>
      <c r="S1037" s="7">
        <v>178.83177015050254</v>
      </c>
      <c r="T1037" s="8">
        <v>0.74421085230623496</v>
      </c>
      <c r="U1037" s="7">
        <v>179.40607273699362</v>
      </c>
    </row>
    <row r="1038" spans="1:21" x14ac:dyDescent="0.3">
      <c r="A1038" s="4">
        <v>57466</v>
      </c>
      <c r="B1038" s="13">
        <f t="shared" si="29"/>
        <v>293.78789169999999</v>
      </c>
      <c r="C1038" s="12">
        <v>10.167872913734747</v>
      </c>
      <c r="D1038" s="5">
        <f t="shared" si="30"/>
        <v>5</v>
      </c>
      <c r="Q1038" s="4">
        <v>57466</v>
      </c>
      <c r="R1038" s="7">
        <v>17.277228448520376</v>
      </c>
      <c r="S1038" s="7">
        <v>23.4735035432298</v>
      </c>
      <c r="T1038" s="8">
        <v>3.1980792002996854E-2</v>
      </c>
      <c r="U1038" s="7">
        <v>24.07971272408999</v>
      </c>
    </row>
    <row r="1039" spans="1:21" x14ac:dyDescent="0.3">
      <c r="A1039" s="4">
        <v>57497</v>
      </c>
      <c r="B1039" s="13">
        <f t="shared" si="29"/>
        <v>205.4655788</v>
      </c>
      <c r="C1039" s="12">
        <v>11.412523672333913</v>
      </c>
      <c r="D1039" s="5">
        <f t="shared" si="30"/>
        <v>6</v>
      </c>
      <c r="Q1039" s="4">
        <v>57497</v>
      </c>
      <c r="R1039" s="7">
        <v>11.562894589802653</v>
      </c>
      <c r="S1039" s="7">
        <v>19.206268124016397</v>
      </c>
      <c r="T1039" s="8">
        <v>0.42209993622482311</v>
      </c>
      <c r="U1039" s="7">
        <v>20.836913475494431</v>
      </c>
    </row>
    <row r="1040" spans="1:21" x14ac:dyDescent="0.3">
      <c r="A1040" s="4">
        <v>57527</v>
      </c>
      <c r="B1040" s="13">
        <f t="shared" si="29"/>
        <v>239.0143357</v>
      </c>
      <c r="C1040" s="12">
        <v>2.1128363579919105</v>
      </c>
      <c r="D1040" s="5">
        <f t="shared" si="30"/>
        <v>7</v>
      </c>
      <c r="Q1040" s="4">
        <v>57527</v>
      </c>
      <c r="R1040" s="7">
        <v>7.6456931724067898</v>
      </c>
      <c r="S1040" s="7">
        <v>11.984600300484667</v>
      </c>
      <c r="T1040" s="8">
        <v>0.35278815673875896</v>
      </c>
      <c r="U1040" s="7">
        <v>13.410762797829564</v>
      </c>
    </row>
    <row r="1041" spans="1:21" x14ac:dyDescent="0.3">
      <c r="A1041" s="4">
        <v>57558</v>
      </c>
      <c r="B1041" s="13">
        <f t="shared" si="29"/>
        <v>340.19888459999999</v>
      </c>
      <c r="C1041" s="12">
        <v>0.13190955758091155</v>
      </c>
      <c r="D1041" s="5">
        <f t="shared" si="30"/>
        <v>8</v>
      </c>
      <c r="Q1041" s="4">
        <v>57558</v>
      </c>
      <c r="R1041" s="7">
        <v>0.71743249677002241</v>
      </c>
      <c r="S1041" s="7">
        <v>15.62091034816244</v>
      </c>
      <c r="T1041" s="8">
        <v>0.10420465640597051</v>
      </c>
      <c r="U1041" s="7">
        <v>8.3769851293952033</v>
      </c>
    </row>
    <row r="1042" spans="1:21" x14ac:dyDescent="0.3">
      <c r="A1042" s="4">
        <v>57589</v>
      </c>
      <c r="B1042" s="13">
        <f t="shared" si="29"/>
        <v>56.380270899999999</v>
      </c>
      <c r="C1042" s="12">
        <v>83.185983239673206</v>
      </c>
      <c r="D1042" s="5">
        <f t="shared" si="30"/>
        <v>9</v>
      </c>
      <c r="Q1042" s="4">
        <v>57589</v>
      </c>
      <c r="R1042" s="7">
        <v>278.74256725186132</v>
      </c>
      <c r="S1042" s="7">
        <v>180.10567639688966</v>
      </c>
      <c r="T1042" s="8">
        <v>0.98129343155165949</v>
      </c>
      <c r="U1042" s="7">
        <v>189.30778218775228</v>
      </c>
    </row>
    <row r="1043" spans="1:21" x14ac:dyDescent="0.3">
      <c r="A1043" s="4">
        <v>57619</v>
      </c>
      <c r="B1043" s="13">
        <f t="shared" si="29"/>
        <v>169.3009788</v>
      </c>
      <c r="C1043" s="12">
        <v>168.59806710854184</v>
      </c>
      <c r="D1043" s="5">
        <f t="shared" si="30"/>
        <v>10</v>
      </c>
      <c r="Q1043" s="4">
        <v>57619</v>
      </c>
      <c r="R1043" s="7">
        <v>413.81009115944039</v>
      </c>
      <c r="S1043" s="7">
        <v>312.25614411992274</v>
      </c>
      <c r="T1043" s="8">
        <v>0.92294978054635934</v>
      </c>
      <c r="U1043" s="7">
        <v>312.46356135901641</v>
      </c>
    </row>
    <row r="1044" spans="1:21" x14ac:dyDescent="0.3">
      <c r="A1044" s="4">
        <v>57650</v>
      </c>
      <c r="B1044" s="13">
        <f t="shared" si="29"/>
        <v>85.541292799999994</v>
      </c>
      <c r="C1044" s="12">
        <v>99.854099680669663</v>
      </c>
      <c r="D1044" s="5">
        <f t="shared" si="30"/>
        <v>11</v>
      </c>
      <c r="Q1044" s="4">
        <v>57650</v>
      </c>
      <c r="R1044" s="7">
        <v>216.41629547094124</v>
      </c>
      <c r="S1044" s="7">
        <v>222.303349456603</v>
      </c>
      <c r="T1044" s="8">
        <v>0.60911980414713041</v>
      </c>
      <c r="U1044" s="7">
        <v>218.77735562008098</v>
      </c>
    </row>
    <row r="1045" spans="1:21" x14ac:dyDescent="0.3">
      <c r="A1045" s="4">
        <v>57680</v>
      </c>
      <c r="B1045" s="13">
        <f t="shared" si="29"/>
        <v>21.200916100000001</v>
      </c>
      <c r="C1045" s="12">
        <v>36.773224602802742</v>
      </c>
      <c r="D1045" s="5">
        <f t="shared" si="30"/>
        <v>12</v>
      </c>
      <c r="Q1045" s="4">
        <v>57680</v>
      </c>
      <c r="R1045" s="7">
        <v>77.58175413687421</v>
      </c>
      <c r="S1045" s="7">
        <v>93.898255791417611</v>
      </c>
      <c r="T1045" s="8">
        <v>4.0886727938765757E-2</v>
      </c>
      <c r="U1045" s="7">
        <v>93.259507795796523</v>
      </c>
    </row>
    <row r="1046" spans="1:21" x14ac:dyDescent="0.3">
      <c r="A1046" s="4">
        <v>57711</v>
      </c>
      <c r="B1046" s="13">
        <f t="shared" si="29"/>
        <v>37.963072199999999</v>
      </c>
      <c r="C1046" s="12">
        <v>69.96641022269624</v>
      </c>
      <c r="D1046" s="5">
        <f t="shared" si="30"/>
        <v>1</v>
      </c>
      <c r="Q1046" s="4">
        <v>57711</v>
      </c>
      <c r="R1046" s="7">
        <v>96.205738979380783</v>
      </c>
      <c r="S1046" s="7">
        <v>78.098908178112666</v>
      </c>
      <c r="T1046" s="8">
        <v>0.18765873917839626</v>
      </c>
      <c r="U1046" s="7">
        <v>77.404939497243788</v>
      </c>
    </row>
    <row r="1047" spans="1:21" x14ac:dyDescent="0.3">
      <c r="A1047" s="4">
        <v>57742</v>
      </c>
      <c r="B1047" s="13">
        <f t="shared" si="29"/>
        <v>26.130255999999999</v>
      </c>
      <c r="C1047" s="12">
        <v>65.143665089271977</v>
      </c>
      <c r="D1047" s="5">
        <f t="shared" si="30"/>
        <v>2</v>
      </c>
      <c r="Q1047" s="4">
        <v>57742</v>
      </c>
      <c r="R1047" s="7">
        <v>127.30506205421207</v>
      </c>
      <c r="S1047" s="7">
        <v>143.80740738504738</v>
      </c>
      <c r="T1047" s="8">
        <v>0.30318383873375004</v>
      </c>
      <c r="U1047" s="7">
        <v>143.28041557742105</v>
      </c>
    </row>
    <row r="1048" spans="1:21" x14ac:dyDescent="0.3">
      <c r="A1048" s="4">
        <v>57770</v>
      </c>
      <c r="B1048" s="13">
        <f t="shared" si="29"/>
        <v>28.012876299999999</v>
      </c>
      <c r="C1048" s="12">
        <v>80.792707647196934</v>
      </c>
      <c r="D1048" s="5">
        <f t="shared" si="30"/>
        <v>3</v>
      </c>
      <c r="Q1048" s="4">
        <v>57770</v>
      </c>
      <c r="R1048" s="7">
        <v>172.16375222793894</v>
      </c>
      <c r="S1048" s="7">
        <v>171.97639594535744</v>
      </c>
      <c r="T1048" s="8">
        <v>0.66828666840664197</v>
      </c>
      <c r="U1048" s="7">
        <v>171.52524681244785</v>
      </c>
    </row>
    <row r="1049" spans="1:21" x14ac:dyDescent="0.3">
      <c r="A1049" s="4">
        <v>57801</v>
      </c>
      <c r="B1049" s="13">
        <f t="shared" si="29"/>
        <v>311.60373060000001</v>
      </c>
      <c r="C1049" s="12">
        <v>103.34127524402003</v>
      </c>
      <c r="D1049" s="5">
        <f t="shared" si="30"/>
        <v>4</v>
      </c>
      <c r="Q1049" s="4">
        <v>57801</v>
      </c>
      <c r="R1049" s="7">
        <v>194.61350452264205</v>
      </c>
      <c r="S1049" s="7">
        <v>199.93087338482698</v>
      </c>
      <c r="T1049" s="8">
        <v>0.81375968844543234</v>
      </c>
      <c r="U1049" s="7">
        <v>200.21511939522676</v>
      </c>
    </row>
    <row r="1050" spans="1:21" x14ac:dyDescent="0.3">
      <c r="A1050" s="4">
        <v>57831</v>
      </c>
      <c r="B1050" s="13">
        <f t="shared" si="29"/>
        <v>193.2202618</v>
      </c>
      <c r="C1050" s="12">
        <v>26.228181782062151</v>
      </c>
      <c r="D1050" s="5">
        <f t="shared" si="30"/>
        <v>5</v>
      </c>
      <c r="Q1050" s="4">
        <v>57831</v>
      </c>
      <c r="R1050" s="7">
        <v>44.56687178159882</v>
      </c>
      <c r="S1050" s="7">
        <v>52.363905475103735</v>
      </c>
      <c r="T1050" s="8">
        <v>0.18446019279331397</v>
      </c>
      <c r="U1050" s="7">
        <v>51.986590136253191</v>
      </c>
    </row>
    <row r="1051" spans="1:21" x14ac:dyDescent="0.3">
      <c r="A1051" s="4">
        <v>57862</v>
      </c>
      <c r="B1051" s="13">
        <f t="shared" si="29"/>
        <v>239.85549140000001</v>
      </c>
      <c r="C1051" s="12">
        <v>5.4036304718465482</v>
      </c>
      <c r="D1051" s="5">
        <f t="shared" si="30"/>
        <v>6</v>
      </c>
      <c r="Q1051" s="4">
        <v>57862</v>
      </c>
      <c r="R1051" s="7">
        <v>5.4748284728358794</v>
      </c>
      <c r="S1051" s="7">
        <v>12.057656041170183</v>
      </c>
      <c r="T1051" s="8">
        <v>0.28035750702144319</v>
      </c>
      <c r="U1051" s="7">
        <v>14.557338531504534</v>
      </c>
    </row>
    <row r="1052" spans="1:21" x14ac:dyDescent="0.3">
      <c r="A1052" s="4">
        <v>57892</v>
      </c>
      <c r="B1052" s="13">
        <f t="shared" si="29"/>
        <v>268.05485870000001</v>
      </c>
      <c r="C1052" s="12">
        <v>2.506239915760489E-2</v>
      </c>
      <c r="D1052" s="5">
        <f t="shared" si="30"/>
        <v>7</v>
      </c>
      <c r="Q1052" s="4">
        <v>57892</v>
      </c>
      <c r="R1052" s="7">
        <v>9.0692974587749428E-2</v>
      </c>
      <c r="S1052" s="7">
        <v>0.48253040429346317</v>
      </c>
      <c r="T1052" s="8">
        <v>2.1330882032525155E-2</v>
      </c>
      <c r="U1052" s="7">
        <v>1.2429335349834463</v>
      </c>
    </row>
    <row r="1053" spans="1:21" x14ac:dyDescent="0.3">
      <c r="A1053" s="4">
        <v>57923</v>
      </c>
      <c r="B1053" s="13">
        <f t="shared" si="29"/>
        <v>82.151043799999997</v>
      </c>
      <c r="C1053" s="12">
        <v>3.8874882218919937E-2</v>
      </c>
      <c r="D1053" s="5">
        <f t="shared" si="30"/>
        <v>8</v>
      </c>
      <c r="Q1053" s="4">
        <v>57923</v>
      </c>
      <c r="R1053" s="7">
        <v>0.21143353312251742</v>
      </c>
      <c r="S1053" s="7">
        <v>11.034187070199305</v>
      </c>
      <c r="T1053" s="8">
        <v>5.4387728920939779E-2</v>
      </c>
      <c r="U1053" s="7">
        <v>5.6159100734298111</v>
      </c>
    </row>
    <row r="1054" spans="1:21" x14ac:dyDescent="0.3">
      <c r="A1054" s="4">
        <v>57954</v>
      </c>
      <c r="B1054" s="13">
        <f t="shared" si="29"/>
        <v>175.76432109999999</v>
      </c>
      <c r="C1054" s="12">
        <v>0.55731300381012205</v>
      </c>
      <c r="D1054" s="5">
        <f t="shared" si="30"/>
        <v>9</v>
      </c>
      <c r="Q1054" s="4">
        <v>57954</v>
      </c>
      <c r="R1054" s="7">
        <v>1.8674643418867651</v>
      </c>
      <c r="S1054" s="7">
        <v>8.1218135503130462</v>
      </c>
      <c r="T1054" s="8">
        <v>7.6628781088314668E-2</v>
      </c>
      <c r="U1054" s="7">
        <v>10.693436492699094</v>
      </c>
    </row>
    <row r="1055" spans="1:21" x14ac:dyDescent="0.3">
      <c r="A1055" s="4">
        <v>57984</v>
      </c>
      <c r="B1055" s="13">
        <f t="shared" si="29"/>
        <v>105.6877432</v>
      </c>
      <c r="C1055" s="12">
        <v>3.9678340719547043</v>
      </c>
      <c r="D1055" s="5">
        <f t="shared" si="30"/>
        <v>10</v>
      </c>
      <c r="Q1055" s="4">
        <v>57984</v>
      </c>
      <c r="R1055" s="7">
        <v>9.7387224372154328</v>
      </c>
      <c r="S1055" s="7">
        <v>36.04624710677642</v>
      </c>
      <c r="T1055" s="8">
        <v>3.3555464045347635E-2</v>
      </c>
      <c r="U1055" s="7">
        <v>45.891628500885858</v>
      </c>
    </row>
    <row r="1056" spans="1:21" x14ac:dyDescent="0.3">
      <c r="A1056" s="4">
        <v>58015</v>
      </c>
      <c r="B1056" s="13">
        <f t="shared" si="29"/>
        <v>122.025441</v>
      </c>
      <c r="C1056" s="12">
        <v>103.19260752294224</v>
      </c>
      <c r="D1056" s="5">
        <f t="shared" si="30"/>
        <v>11</v>
      </c>
      <c r="Q1056" s="4">
        <v>58015</v>
      </c>
      <c r="R1056" s="7">
        <v>223.65192727710516</v>
      </c>
      <c r="S1056" s="7">
        <v>226.73479581627547</v>
      </c>
      <c r="T1056" s="8">
        <v>0.63033728221828</v>
      </c>
      <c r="U1056" s="7">
        <v>223.38280032408588</v>
      </c>
    </row>
    <row r="1057" spans="1:21" x14ac:dyDescent="0.3">
      <c r="A1057" s="4">
        <v>58045</v>
      </c>
      <c r="B1057" s="13">
        <f t="shared" si="29"/>
        <v>13.0360415</v>
      </c>
      <c r="C1057" s="12">
        <v>59.968622436281258</v>
      </c>
      <c r="D1057" s="5">
        <f t="shared" si="30"/>
        <v>12</v>
      </c>
      <c r="Q1057" s="4">
        <v>58045</v>
      </c>
      <c r="R1057" s="7">
        <v>126.5178937129167</v>
      </c>
      <c r="S1057" s="7">
        <v>141.66959395726727</v>
      </c>
      <c r="T1057" s="8">
        <v>0.16659770793595202</v>
      </c>
      <c r="U1057" s="7">
        <v>139.91261157357366</v>
      </c>
    </row>
    <row r="1058" spans="1:21" x14ac:dyDescent="0.3">
      <c r="A1058" s="4">
        <v>58076</v>
      </c>
      <c r="B1058" s="13">
        <f t="shared" si="29"/>
        <v>63.191833500000001</v>
      </c>
      <c r="C1058" s="12">
        <v>151.12861379748213</v>
      </c>
      <c r="D1058" s="5">
        <f t="shared" si="30"/>
        <v>1</v>
      </c>
      <c r="Q1058" s="4">
        <v>58076</v>
      </c>
      <c r="R1058" s="7">
        <v>207.80600183771892</v>
      </c>
      <c r="S1058" s="7">
        <v>215.63906153072551</v>
      </c>
      <c r="T1058" s="8">
        <v>0.76034669458268711</v>
      </c>
      <c r="U1058" s="7">
        <v>217.62556542192385</v>
      </c>
    </row>
    <row r="1059" spans="1:21" x14ac:dyDescent="0.3">
      <c r="A1059" s="4">
        <v>58107</v>
      </c>
      <c r="B1059" s="13">
        <f t="shared" si="29"/>
        <v>56.554890899999997</v>
      </c>
      <c r="C1059" s="12">
        <v>17.902679467806589</v>
      </c>
      <c r="D1059" s="5">
        <f t="shared" si="30"/>
        <v>2</v>
      </c>
      <c r="Q1059" s="4">
        <v>58107</v>
      </c>
      <c r="R1059" s="7">
        <v>34.985776705417734</v>
      </c>
      <c r="S1059" s="7">
        <v>52.88356410481024</v>
      </c>
      <c r="T1059" s="8">
        <v>1.4330568611504247E-2</v>
      </c>
      <c r="U1059" s="7">
        <v>56.435457759167633</v>
      </c>
    </row>
    <row r="1060" spans="1:21" x14ac:dyDescent="0.3">
      <c r="A1060" s="4">
        <v>58135</v>
      </c>
      <c r="B1060" s="13">
        <f t="shared" si="29"/>
        <v>117.2500866</v>
      </c>
      <c r="C1060" s="12">
        <v>57.997686794260638</v>
      </c>
      <c r="D1060" s="5">
        <f t="shared" si="30"/>
        <v>3</v>
      </c>
      <c r="Q1060" s="4">
        <v>58135</v>
      </c>
      <c r="R1060" s="7">
        <v>123.58911676340041</v>
      </c>
      <c r="S1060" s="7">
        <v>126.62788126034681</v>
      </c>
      <c r="T1060" s="8">
        <v>0.42465319030371679</v>
      </c>
      <c r="U1060" s="7">
        <v>126.31725006518298</v>
      </c>
    </row>
    <row r="1061" spans="1:21" x14ac:dyDescent="0.3">
      <c r="A1061" s="4">
        <v>58166</v>
      </c>
      <c r="B1061" s="13">
        <f t="shared" si="29"/>
        <v>55.145026199999997</v>
      </c>
      <c r="C1061" s="12">
        <v>20.176897669443861</v>
      </c>
      <c r="D1061" s="5">
        <f t="shared" si="30"/>
        <v>4</v>
      </c>
      <c r="Q1061" s="4">
        <v>58166</v>
      </c>
      <c r="R1061" s="7">
        <v>37.997370910829957</v>
      </c>
      <c r="S1061" s="7">
        <v>31.505109516597358</v>
      </c>
      <c r="T1061" s="8">
        <v>1.4058579131310932E-2</v>
      </c>
      <c r="U1061" s="7">
        <v>30.697516112571591</v>
      </c>
    </row>
    <row r="1062" spans="1:21" x14ac:dyDescent="0.3">
      <c r="A1062" s="4">
        <v>58196</v>
      </c>
      <c r="B1062" s="13">
        <f t="shared" si="29"/>
        <v>171.9828191</v>
      </c>
      <c r="C1062" s="12">
        <v>82.310212869197258</v>
      </c>
      <c r="D1062" s="5">
        <f t="shared" si="30"/>
        <v>5</v>
      </c>
      <c r="Q1062" s="4">
        <v>58196</v>
      </c>
      <c r="R1062" s="7">
        <v>139.86134203806805</v>
      </c>
      <c r="S1062" s="7">
        <v>137.90547289519071</v>
      </c>
      <c r="T1062" s="8">
        <v>0.74474871432358047</v>
      </c>
      <c r="U1062" s="7">
        <v>137.04654091484929</v>
      </c>
    </row>
    <row r="1063" spans="1:21" x14ac:dyDescent="0.3">
      <c r="A1063" s="4">
        <v>58227</v>
      </c>
      <c r="B1063" s="13">
        <f t="shared" si="29"/>
        <v>284.58998639999999</v>
      </c>
      <c r="C1063" s="12">
        <v>0.70962542849883914</v>
      </c>
      <c r="D1063" s="5">
        <f t="shared" si="30"/>
        <v>6</v>
      </c>
      <c r="Q1063" s="4">
        <v>58227</v>
      </c>
      <c r="R1063" s="7">
        <v>0.71897542240081858</v>
      </c>
      <c r="S1063" s="7">
        <v>3.4062576139155949</v>
      </c>
      <c r="T1063" s="8">
        <v>8.485509195151586E-2</v>
      </c>
      <c r="U1063" s="7">
        <v>6.0831827891319463</v>
      </c>
    </row>
    <row r="1064" spans="1:21" x14ac:dyDescent="0.3">
      <c r="A1064" s="4">
        <v>58257</v>
      </c>
      <c r="B1064" s="13">
        <f t="shared" si="29"/>
        <v>181.14749900000001</v>
      </c>
      <c r="C1064" s="12">
        <v>4.8181596235963325E-2</v>
      </c>
      <c r="D1064" s="5">
        <f t="shared" si="30"/>
        <v>7</v>
      </c>
      <c r="Q1064" s="4">
        <v>58257</v>
      </c>
      <c r="R1064" s="7">
        <v>0.17435410933910855</v>
      </c>
      <c r="S1064" s="7">
        <v>0.77473730813715858</v>
      </c>
      <c r="T1064" s="8">
        <v>3.2576936460830749E-2</v>
      </c>
      <c r="U1064" s="7">
        <v>1.7310929069871286</v>
      </c>
    </row>
    <row r="1065" spans="1:21" x14ac:dyDescent="0.3">
      <c r="A1065" s="4">
        <v>58288</v>
      </c>
      <c r="B1065" s="13">
        <f t="shared" si="29"/>
        <v>296.63207670000003</v>
      </c>
      <c r="C1065" s="12">
        <v>0</v>
      </c>
      <c r="D1065" s="5">
        <f t="shared" si="30"/>
        <v>8</v>
      </c>
      <c r="Q1065" s="4">
        <v>58288</v>
      </c>
      <c r="R1065" s="7">
        <v>0</v>
      </c>
      <c r="S1065" s="7">
        <v>0</v>
      </c>
      <c r="T1065" s="8">
        <v>0</v>
      </c>
      <c r="U1065" s="7">
        <v>0</v>
      </c>
    </row>
    <row r="1066" spans="1:21" x14ac:dyDescent="0.3">
      <c r="A1066" s="4">
        <v>58319</v>
      </c>
      <c r="B1066" s="13">
        <f t="shared" si="29"/>
        <v>310.987437</v>
      </c>
      <c r="C1066" s="12">
        <v>6.4151199552497963E-3</v>
      </c>
      <c r="D1066" s="5">
        <f t="shared" si="30"/>
        <v>9</v>
      </c>
      <c r="Q1066" s="4">
        <v>58319</v>
      </c>
      <c r="R1066" s="7">
        <v>2.1496013341610155E-2</v>
      </c>
      <c r="S1066" s="7">
        <v>0.51203558250457681</v>
      </c>
      <c r="T1066" s="8">
        <v>3.4613704310752303E-3</v>
      </c>
      <c r="U1066" s="7">
        <v>1.4798514817277344</v>
      </c>
    </row>
    <row r="1067" spans="1:21" x14ac:dyDescent="0.3">
      <c r="A1067" s="4">
        <v>58349</v>
      </c>
      <c r="B1067" s="13">
        <f t="shared" si="29"/>
        <v>95.8687106</v>
      </c>
      <c r="C1067" s="12">
        <v>58.383879001485099</v>
      </c>
      <c r="D1067" s="5">
        <f t="shared" si="30"/>
        <v>10</v>
      </c>
      <c r="Q1067" s="4">
        <v>58349</v>
      </c>
      <c r="R1067" s="7">
        <v>143.29842984672186</v>
      </c>
      <c r="S1067" s="7">
        <v>169.55053379400974</v>
      </c>
      <c r="T1067" s="8">
        <v>0.54784396715926931</v>
      </c>
      <c r="U1067" s="7">
        <v>165.59693934963295</v>
      </c>
    </row>
    <row r="1068" spans="1:21" x14ac:dyDescent="0.3">
      <c r="A1068" s="4">
        <v>58380</v>
      </c>
      <c r="B1068" s="13">
        <f t="shared" si="29"/>
        <v>78.962689800000007</v>
      </c>
      <c r="C1068" s="12">
        <v>98.934681387618141</v>
      </c>
      <c r="D1068" s="5">
        <f t="shared" si="30"/>
        <v>11</v>
      </c>
      <c r="Q1068" s="4">
        <v>58380</v>
      </c>
      <c r="R1068" s="7">
        <v>214.42361713718481</v>
      </c>
      <c r="S1068" s="7">
        <v>221.0725816295317</v>
      </c>
      <c r="T1068" s="8">
        <v>0.60313237989056867</v>
      </c>
      <c r="U1068" s="7">
        <v>217.50245036634098</v>
      </c>
    </row>
    <row r="1069" spans="1:21" x14ac:dyDescent="0.3">
      <c r="A1069" s="4">
        <v>58410</v>
      </c>
      <c r="B1069" s="13">
        <f t="shared" si="29"/>
        <v>11.2363342</v>
      </c>
      <c r="C1069" s="12">
        <v>237.86347231362006</v>
      </c>
      <c r="D1069" s="5">
        <f t="shared" si="30"/>
        <v>12</v>
      </c>
      <c r="Q1069" s="4">
        <v>58410</v>
      </c>
      <c r="R1069" s="7">
        <v>501.82886125716482</v>
      </c>
      <c r="S1069" s="7">
        <v>451.36316902037589</v>
      </c>
      <c r="T1069" s="8">
        <v>0.97602811581464</v>
      </c>
      <c r="U1069" s="7">
        <v>460.41133497422061</v>
      </c>
    </row>
    <row r="1070" spans="1:21" x14ac:dyDescent="0.3">
      <c r="A1070" s="4">
        <v>58441</v>
      </c>
      <c r="B1070" s="13">
        <f t="shared" si="29"/>
        <v>40.150991300000001</v>
      </c>
      <c r="C1070" s="12">
        <v>155.13469779398281</v>
      </c>
      <c r="D1070" s="5">
        <f t="shared" si="30"/>
        <v>1</v>
      </c>
      <c r="Q1070" s="4">
        <v>58441</v>
      </c>
      <c r="R1070" s="7">
        <v>213.31447754870797</v>
      </c>
      <c r="S1070" s="7">
        <v>223.20914138084089</v>
      </c>
      <c r="T1070" s="8">
        <v>0.77907679867220225</v>
      </c>
      <c r="U1070" s="7">
        <v>225.08073792272009</v>
      </c>
    </row>
    <row r="1071" spans="1:21" x14ac:dyDescent="0.3">
      <c r="A1071" s="4">
        <v>58472</v>
      </c>
      <c r="B1071" s="13">
        <f t="shared" si="29"/>
        <v>57.343269999999997</v>
      </c>
      <c r="C1071" s="12">
        <v>77.130754315294368</v>
      </c>
      <c r="D1071" s="5">
        <f t="shared" si="30"/>
        <v>2</v>
      </c>
      <c r="Q1071" s="4">
        <v>58472</v>
      </c>
      <c r="R1071" s="7">
        <v>150.73047319245435</v>
      </c>
      <c r="S1071" s="7">
        <v>163.9061346083474</v>
      </c>
      <c r="T1071" s="8">
        <v>0.4024733016546399</v>
      </c>
      <c r="U1071" s="7">
        <v>162.82156598196542</v>
      </c>
    </row>
    <row r="1072" spans="1:21" x14ac:dyDescent="0.3">
      <c r="A1072" s="4">
        <v>58501</v>
      </c>
      <c r="B1072" s="13">
        <f t="shared" si="29"/>
        <v>170.21428990000001</v>
      </c>
      <c r="C1072" s="12">
        <v>60.047119797672956</v>
      </c>
      <c r="D1072" s="5">
        <f t="shared" si="30"/>
        <v>3</v>
      </c>
      <c r="Q1072" s="4">
        <v>58501</v>
      </c>
      <c r="R1072" s="7">
        <v>127.95631878054286</v>
      </c>
      <c r="S1072" s="7">
        <v>130.75435950751586</v>
      </c>
      <c r="T1072" s="8">
        <v>0.44921131987893426</v>
      </c>
      <c r="U1072" s="7">
        <v>130.41585966074234</v>
      </c>
    </row>
    <row r="1073" spans="1:21" x14ac:dyDescent="0.3">
      <c r="A1073" s="4">
        <v>58532</v>
      </c>
      <c r="B1073" s="13">
        <f t="shared" si="29"/>
        <v>250.89636429999999</v>
      </c>
      <c r="C1073" s="12">
        <v>3.9067421384970578</v>
      </c>
      <c r="D1073" s="5">
        <f t="shared" si="30"/>
        <v>4</v>
      </c>
      <c r="Q1073" s="4">
        <v>58532</v>
      </c>
      <c r="R1073" s="7">
        <v>7.3572227267747934</v>
      </c>
      <c r="S1073" s="7">
        <v>4.9179817570326696</v>
      </c>
      <c r="T1073" s="8">
        <v>1.2499429328797611E-5</v>
      </c>
      <c r="U1073" s="7">
        <v>4.211483911576706</v>
      </c>
    </row>
    <row r="1074" spans="1:21" x14ac:dyDescent="0.3">
      <c r="A1074" s="4">
        <v>58562</v>
      </c>
      <c r="B1074" s="13">
        <f t="shared" si="29"/>
        <v>306.42772009999999</v>
      </c>
      <c r="C1074" s="12">
        <v>3.6588932169251969</v>
      </c>
      <c r="D1074" s="5">
        <f t="shared" si="30"/>
        <v>5</v>
      </c>
      <c r="Q1074" s="4">
        <v>58562</v>
      </c>
      <c r="R1074" s="7">
        <v>6.2171837230741547</v>
      </c>
      <c r="S1074" s="7">
        <v>9.8795962444827961</v>
      </c>
      <c r="T1074" s="8">
        <v>3.7541531916910503E-3</v>
      </c>
      <c r="U1074" s="7">
        <v>10.763332942415465</v>
      </c>
    </row>
    <row r="1075" spans="1:21" x14ac:dyDescent="0.3">
      <c r="A1075" s="4">
        <v>58593</v>
      </c>
      <c r="B1075" s="13">
        <f t="shared" si="29"/>
        <v>262.97060329999999</v>
      </c>
      <c r="C1075" s="12">
        <v>0.35775999276665926</v>
      </c>
      <c r="D1075" s="5">
        <f t="shared" si="30"/>
        <v>6</v>
      </c>
      <c r="Q1075" s="4">
        <v>58593</v>
      </c>
      <c r="R1075" s="7">
        <v>0.36247382293170377</v>
      </c>
      <c r="S1075" s="7">
        <v>2.223671727151308</v>
      </c>
      <c r="T1075" s="8">
        <v>5.6179109160708063E-2</v>
      </c>
      <c r="U1075" s="7">
        <v>4.627771944007141</v>
      </c>
    </row>
    <row r="1076" spans="1:21" x14ac:dyDescent="0.3">
      <c r="A1076" s="4">
        <v>58623</v>
      </c>
      <c r="B1076" s="13">
        <f t="shared" si="29"/>
        <v>154.41353050000001</v>
      </c>
      <c r="C1076" s="12">
        <v>2.3336969728211589E-12</v>
      </c>
      <c r="D1076" s="5">
        <f t="shared" si="30"/>
        <v>7</v>
      </c>
      <c r="Q1076" s="4">
        <v>58623</v>
      </c>
      <c r="R1076" s="7">
        <v>8.4449185778510932E-12</v>
      </c>
      <c r="S1076" s="7">
        <v>2.6121018765559073E-8</v>
      </c>
      <c r="T1076" s="8">
        <v>6.577523933441261E-9</v>
      </c>
      <c r="U1076" s="7">
        <v>1.4188343573886753E-5</v>
      </c>
    </row>
    <row r="1077" spans="1:21" x14ac:dyDescent="0.3">
      <c r="A1077" s="4">
        <v>58654</v>
      </c>
      <c r="B1077" s="13">
        <f t="shared" si="29"/>
        <v>75.799286199999997</v>
      </c>
      <c r="C1077" s="12">
        <v>24.451075476827111</v>
      </c>
      <c r="D1077" s="5">
        <f t="shared" si="30"/>
        <v>8</v>
      </c>
      <c r="Q1077" s="4">
        <v>58654</v>
      </c>
      <c r="R1077" s="7">
        <v>132.98502739115258</v>
      </c>
      <c r="S1077" s="7">
        <v>69.022995110961503</v>
      </c>
      <c r="T1077" s="8">
        <v>0.95898708476365391</v>
      </c>
      <c r="U1077" s="7">
        <v>83.236052918533701</v>
      </c>
    </row>
    <row r="1078" spans="1:21" x14ac:dyDescent="0.3">
      <c r="A1078" s="4">
        <v>58685</v>
      </c>
      <c r="B1078" s="13">
        <f t="shared" si="29"/>
        <v>118.5327437</v>
      </c>
      <c r="C1078" s="12">
        <v>0</v>
      </c>
      <c r="D1078" s="5">
        <f t="shared" si="30"/>
        <v>9</v>
      </c>
      <c r="Q1078" s="4">
        <v>58685</v>
      </c>
      <c r="R1078" s="7">
        <v>0</v>
      </c>
      <c r="S1078" s="7">
        <v>0</v>
      </c>
      <c r="T1078" s="8">
        <v>0</v>
      </c>
      <c r="U1078" s="7">
        <v>0</v>
      </c>
    </row>
    <row r="1079" spans="1:21" x14ac:dyDescent="0.3">
      <c r="A1079" s="4">
        <v>58715</v>
      </c>
      <c r="B1079" s="13">
        <f t="shared" si="29"/>
        <v>186.28224929999999</v>
      </c>
      <c r="C1079" s="12">
        <v>125.56907976977523</v>
      </c>
      <c r="D1079" s="5">
        <f t="shared" si="30"/>
        <v>10</v>
      </c>
      <c r="Q1079" s="4">
        <v>58715</v>
      </c>
      <c r="R1079" s="7">
        <v>308.19898019877797</v>
      </c>
      <c r="S1079" s="7">
        <v>263.52385653914962</v>
      </c>
      <c r="T1079" s="8">
        <v>0.84419018177663896</v>
      </c>
      <c r="U1079" s="7">
        <v>259.37233927561539</v>
      </c>
    </row>
    <row r="1080" spans="1:21" x14ac:dyDescent="0.3">
      <c r="A1080" s="4">
        <v>58746</v>
      </c>
      <c r="B1080" s="13">
        <f t="shared" si="29"/>
        <v>71.746521400000006</v>
      </c>
      <c r="C1080" s="12">
        <v>92.051005689427157</v>
      </c>
      <c r="D1080" s="5">
        <f t="shared" si="30"/>
        <v>11</v>
      </c>
      <c r="Q1080" s="4">
        <v>58746</v>
      </c>
      <c r="R1080" s="7">
        <v>199.50445409240268</v>
      </c>
      <c r="S1080" s="7">
        <v>211.70799764040132</v>
      </c>
      <c r="T1080" s="8">
        <v>0.55636825374993748</v>
      </c>
      <c r="U1080" s="7">
        <v>207.86139909005126</v>
      </c>
    </row>
    <row r="1081" spans="1:21" x14ac:dyDescent="0.3">
      <c r="A1081" s="4">
        <v>58776</v>
      </c>
      <c r="B1081" s="13">
        <f t="shared" si="29"/>
        <v>21.484575899999999</v>
      </c>
      <c r="C1081" s="12">
        <v>2.4956464967544898</v>
      </c>
      <c r="D1081" s="5">
        <f t="shared" si="30"/>
        <v>12</v>
      </c>
      <c r="Q1081" s="4">
        <v>58776</v>
      </c>
      <c r="R1081" s="7">
        <v>5.2651524312883184</v>
      </c>
      <c r="S1081" s="7">
        <v>9.7744422994992455</v>
      </c>
      <c r="T1081" s="8">
        <v>1.2234311246687167E-6</v>
      </c>
      <c r="U1081" s="7">
        <v>11.181942492371521</v>
      </c>
    </row>
    <row r="1082" spans="1:21" x14ac:dyDescent="0.3">
      <c r="A1082" s="4">
        <v>58807</v>
      </c>
      <c r="B1082" s="13">
        <f t="shared" si="29"/>
        <v>4.7826126999999996</v>
      </c>
      <c r="C1082" s="12">
        <v>135.51835723919808</v>
      </c>
      <c r="D1082" s="5">
        <f t="shared" si="30"/>
        <v>1</v>
      </c>
      <c r="Q1082" s="4">
        <v>58807</v>
      </c>
      <c r="R1082" s="7">
        <v>186.34146959907224</v>
      </c>
      <c r="S1082" s="7">
        <v>186.76009081008715</v>
      </c>
      <c r="T1082" s="8">
        <v>0.67594138392264569</v>
      </c>
      <c r="U1082" s="7">
        <v>188.93913181041015</v>
      </c>
    </row>
    <row r="1083" spans="1:21" x14ac:dyDescent="0.3">
      <c r="A1083" s="4">
        <v>58838</v>
      </c>
      <c r="B1083" s="13">
        <f t="shared" si="29"/>
        <v>31.767519499999999</v>
      </c>
      <c r="C1083" s="12">
        <v>31.93711114581663</v>
      </c>
      <c r="D1083" s="5">
        <f t="shared" si="30"/>
        <v>2</v>
      </c>
      <c r="Q1083" s="4">
        <v>58838</v>
      </c>
      <c r="R1083" s="7">
        <v>62.412145688744992</v>
      </c>
      <c r="S1083" s="7">
        <v>82.796762802219035</v>
      </c>
      <c r="T1083" s="8">
        <v>6.5515473356964907E-2</v>
      </c>
      <c r="U1083" s="7">
        <v>84.885412845562101</v>
      </c>
    </row>
    <row r="1084" spans="1:21" x14ac:dyDescent="0.3">
      <c r="A1084" s="4">
        <v>58866</v>
      </c>
      <c r="B1084" s="13">
        <f t="shared" si="29"/>
        <v>63.881723899999997</v>
      </c>
      <c r="C1084" s="12">
        <v>106.03020371636374</v>
      </c>
      <c r="D1084" s="5">
        <f t="shared" si="30"/>
        <v>3</v>
      </c>
      <c r="Q1084" s="4">
        <v>58866</v>
      </c>
      <c r="R1084" s="7">
        <v>225.94313587081857</v>
      </c>
      <c r="S1084" s="7">
        <v>221.04849187409363</v>
      </c>
      <c r="T1084" s="8">
        <v>0.84208244191117088</v>
      </c>
      <c r="U1084" s="7">
        <v>220.85703643122258</v>
      </c>
    </row>
    <row r="1085" spans="1:21" x14ac:dyDescent="0.3">
      <c r="A1085" s="4">
        <v>58897</v>
      </c>
      <c r="B1085" s="13">
        <f t="shared" si="29"/>
        <v>332.53692849999999</v>
      </c>
      <c r="C1085" s="12">
        <v>32.673263107426585</v>
      </c>
      <c r="D1085" s="5">
        <f t="shared" si="30"/>
        <v>4</v>
      </c>
      <c r="Q1085" s="4">
        <v>58897</v>
      </c>
      <c r="R1085" s="7">
        <v>61.53067322337489</v>
      </c>
      <c r="S1085" s="7">
        <v>54.348221957597886</v>
      </c>
      <c r="T1085" s="8">
        <v>7.5553391198559472E-2</v>
      </c>
      <c r="U1085" s="7">
        <v>54.047453437577111</v>
      </c>
    </row>
    <row r="1086" spans="1:21" x14ac:dyDescent="0.3">
      <c r="A1086" s="4">
        <v>58927</v>
      </c>
      <c r="B1086" s="13">
        <f t="shared" si="29"/>
        <v>253.2747244</v>
      </c>
      <c r="C1086" s="12">
        <v>71.564015687908949</v>
      </c>
      <c r="D1086" s="5">
        <f t="shared" si="30"/>
        <v>5</v>
      </c>
      <c r="Q1086" s="4">
        <v>58927</v>
      </c>
      <c r="R1086" s="7">
        <v>121.60142620029546</v>
      </c>
      <c r="S1086" s="7">
        <v>122.50001019497944</v>
      </c>
      <c r="T1086" s="8">
        <v>0.66831823857352735</v>
      </c>
      <c r="U1086" s="7">
        <v>121.39444935905144</v>
      </c>
    </row>
    <row r="1087" spans="1:21" x14ac:dyDescent="0.3">
      <c r="A1087" s="4">
        <v>58958</v>
      </c>
      <c r="B1087" s="13">
        <f t="shared" si="29"/>
        <v>287.70162800000003</v>
      </c>
      <c r="C1087" s="12">
        <v>3.9360138071060651</v>
      </c>
      <c r="D1087" s="5">
        <f t="shared" si="30"/>
        <v>6</v>
      </c>
      <c r="Q1087" s="4">
        <v>58958</v>
      </c>
      <c r="R1087" s="7">
        <v>3.9878745545040264</v>
      </c>
      <c r="S1087" s="7">
        <v>9.8983941261225272</v>
      </c>
      <c r="T1087" s="8">
        <v>0.23390921970289777</v>
      </c>
      <c r="U1087" s="7">
        <v>12.597740940484545</v>
      </c>
    </row>
    <row r="1088" spans="1:21" x14ac:dyDescent="0.3">
      <c r="A1088" s="4">
        <v>58988</v>
      </c>
      <c r="B1088" s="13">
        <f t="shared" ref="B1088:B1151" si="31">B707</f>
        <v>93.674177</v>
      </c>
      <c r="C1088" s="12">
        <v>5.4246697298367605</v>
      </c>
      <c r="D1088" s="5">
        <f t="shared" si="30"/>
        <v>7</v>
      </c>
      <c r="Q1088" s="4">
        <v>58988</v>
      </c>
      <c r="R1088" s="7">
        <v>19.630181087660695</v>
      </c>
      <c r="S1088" s="7">
        <v>23.728734712353813</v>
      </c>
      <c r="T1088" s="8">
        <v>0.58342617498234062</v>
      </c>
      <c r="U1088" s="7">
        <v>24.087047316872322</v>
      </c>
    </row>
    <row r="1089" spans="1:21" x14ac:dyDescent="0.3">
      <c r="A1089" s="4">
        <v>59019</v>
      </c>
      <c r="B1089" s="13">
        <f t="shared" si="31"/>
        <v>219.35314030000001</v>
      </c>
      <c r="C1089" s="12">
        <v>18.951098315301351</v>
      </c>
      <c r="D1089" s="5">
        <f t="shared" si="30"/>
        <v>8</v>
      </c>
      <c r="Q1089" s="4">
        <v>59019</v>
      </c>
      <c r="R1089" s="7">
        <v>103.07163506739175</v>
      </c>
      <c r="S1089" s="7">
        <v>64.196047539277686</v>
      </c>
      <c r="T1089" s="8">
        <v>0.92698683250706604</v>
      </c>
      <c r="U1089" s="7">
        <v>71.237059422601561</v>
      </c>
    </row>
    <row r="1090" spans="1:21" x14ac:dyDescent="0.3">
      <c r="A1090" s="4">
        <v>59050</v>
      </c>
      <c r="B1090" s="13">
        <f t="shared" si="31"/>
        <v>120.72031680000001</v>
      </c>
      <c r="C1090" s="12">
        <v>31.466464715777068</v>
      </c>
      <c r="D1090" s="5">
        <f t="shared" si="30"/>
        <v>9</v>
      </c>
      <c r="Q1090" s="4">
        <v>59050</v>
      </c>
      <c r="R1090" s="7">
        <v>105.43895516561869</v>
      </c>
      <c r="S1090" s="7">
        <v>98.661029385115214</v>
      </c>
      <c r="T1090" s="8">
        <v>0.82130318340086716</v>
      </c>
      <c r="U1090" s="7">
        <v>95.52718861295898</v>
      </c>
    </row>
    <row r="1091" spans="1:21" x14ac:dyDescent="0.3">
      <c r="A1091" s="4">
        <v>59080</v>
      </c>
      <c r="B1091" s="13">
        <f t="shared" si="31"/>
        <v>47.585153300000002</v>
      </c>
      <c r="C1091" s="12">
        <v>16.213474822870918</v>
      </c>
      <c r="D1091" s="5">
        <f t="shared" ref="D1091:D1154" si="32">MONTH(A1091)</f>
        <v>10</v>
      </c>
      <c r="Q1091" s="4">
        <v>59080</v>
      </c>
      <c r="R1091" s="7">
        <v>39.794640647594868</v>
      </c>
      <c r="S1091" s="7">
        <v>81.075243560148493</v>
      </c>
      <c r="T1091" s="8">
        <v>0.16618301368839791</v>
      </c>
      <c r="U1091" s="7">
        <v>85.899936619944512</v>
      </c>
    </row>
    <row r="1092" spans="1:21" x14ac:dyDescent="0.3">
      <c r="A1092" s="4">
        <v>59111</v>
      </c>
      <c r="B1092" s="13">
        <f t="shared" si="31"/>
        <v>199.48006409999999</v>
      </c>
      <c r="C1092" s="12">
        <v>71.791601018048752</v>
      </c>
      <c r="D1092" s="5">
        <f t="shared" si="32"/>
        <v>11</v>
      </c>
      <c r="Q1092" s="4">
        <v>59111</v>
      </c>
      <c r="R1092" s="7">
        <v>155.59573806123538</v>
      </c>
      <c r="S1092" s="7">
        <v>182.366475544293</v>
      </c>
      <c r="T1092" s="8">
        <v>0.40136276142111443</v>
      </c>
      <c r="U1092" s="7">
        <v>178.32308902325343</v>
      </c>
    </row>
    <row r="1093" spans="1:21" x14ac:dyDescent="0.3">
      <c r="A1093" s="4">
        <v>59141</v>
      </c>
      <c r="B1093" s="13">
        <f t="shared" si="31"/>
        <v>28.547926499999999</v>
      </c>
      <c r="C1093" s="12">
        <v>116.47836231859391</v>
      </c>
      <c r="D1093" s="5">
        <f t="shared" si="32"/>
        <v>12</v>
      </c>
      <c r="Q1093" s="4">
        <v>59141</v>
      </c>
      <c r="R1093" s="7">
        <v>245.73846229895662</v>
      </c>
      <c r="S1093" s="7">
        <v>247.60014601792659</v>
      </c>
      <c r="T1093" s="8">
        <v>0.61090561261818421</v>
      </c>
      <c r="U1093" s="7">
        <v>246.06439874261102</v>
      </c>
    </row>
    <row r="1094" spans="1:21" x14ac:dyDescent="0.3">
      <c r="A1094" s="4">
        <v>59172</v>
      </c>
      <c r="B1094" s="13">
        <f t="shared" si="31"/>
        <v>3.2116576000000001</v>
      </c>
      <c r="C1094" s="12">
        <v>150.16417588340127</v>
      </c>
      <c r="D1094" s="5">
        <f t="shared" si="32"/>
        <v>1</v>
      </c>
      <c r="Q1094" s="4">
        <v>59172</v>
      </c>
      <c r="R1094" s="7">
        <v>206.47987317214128</v>
      </c>
      <c r="S1094" s="7">
        <v>213.82608686259994</v>
      </c>
      <c r="T1094" s="8">
        <v>0.7556615688913364</v>
      </c>
      <c r="U1094" s="7">
        <v>215.83619977931048</v>
      </c>
    </row>
    <row r="1095" spans="1:21" x14ac:dyDescent="0.3">
      <c r="A1095" s="4">
        <v>59203</v>
      </c>
      <c r="B1095" s="13">
        <f t="shared" si="31"/>
        <v>14.8774441</v>
      </c>
      <c r="C1095" s="12">
        <v>167.47791124507785</v>
      </c>
      <c r="D1095" s="5">
        <f t="shared" si="32"/>
        <v>2</v>
      </c>
      <c r="Q1095" s="4">
        <v>59203</v>
      </c>
      <c r="R1095" s="7">
        <v>327.28870650042097</v>
      </c>
      <c r="S1095" s="7">
        <v>298.80887314813702</v>
      </c>
      <c r="T1095" s="8">
        <v>0.88416070657748724</v>
      </c>
      <c r="U1095" s="7">
        <v>298.92955948808583</v>
      </c>
    </row>
    <row r="1096" spans="1:21" x14ac:dyDescent="0.3">
      <c r="A1096" s="4">
        <v>59231</v>
      </c>
      <c r="B1096" s="13">
        <f t="shared" si="31"/>
        <v>73.299382199999997</v>
      </c>
      <c r="C1096" s="12">
        <v>145.19875980913636</v>
      </c>
      <c r="D1096" s="5">
        <f t="shared" si="32"/>
        <v>3</v>
      </c>
      <c r="Q1096" s="4">
        <v>59231</v>
      </c>
      <c r="R1096" s="7">
        <v>309.40865872133526</v>
      </c>
      <c r="S1096" s="7">
        <v>295.50687978822623</v>
      </c>
      <c r="T1096" s="8">
        <v>0.95838257515338054</v>
      </c>
      <c r="U1096" s="7">
        <v>296.48703491985674</v>
      </c>
    </row>
    <row r="1097" spans="1:21" x14ac:dyDescent="0.3">
      <c r="A1097" s="4">
        <v>59262</v>
      </c>
      <c r="B1097" s="13">
        <f t="shared" si="31"/>
        <v>46.367444399999997</v>
      </c>
      <c r="C1097" s="12">
        <v>35.798606841126414</v>
      </c>
      <c r="D1097" s="5">
        <f t="shared" si="32"/>
        <v>4</v>
      </c>
      <c r="Q1097" s="4">
        <v>59262</v>
      </c>
      <c r="R1097" s="7">
        <v>67.416357287336538</v>
      </c>
      <c r="S1097" s="7">
        <v>60.264885629536749</v>
      </c>
      <c r="T1097" s="8">
        <v>0.10031503539942517</v>
      </c>
      <c r="U1097" s="7">
        <v>60.096736635841268</v>
      </c>
    </row>
    <row r="1098" spans="1:21" x14ac:dyDescent="0.3">
      <c r="A1098" s="4">
        <v>59292</v>
      </c>
      <c r="B1098" s="13">
        <f t="shared" si="31"/>
        <v>393.89061720000001</v>
      </c>
      <c r="C1098" s="12">
        <v>58.27479534200382</v>
      </c>
      <c r="D1098" s="5">
        <f t="shared" si="32"/>
        <v>5</v>
      </c>
      <c r="Q1098" s="4">
        <v>59292</v>
      </c>
      <c r="R1098" s="7">
        <v>99.020410705030628</v>
      </c>
      <c r="S1098" s="7">
        <v>102.94319215063435</v>
      </c>
      <c r="T1098" s="8">
        <v>0.55042124287651184</v>
      </c>
      <c r="U1098" s="7">
        <v>101.73616387782282</v>
      </c>
    </row>
    <row r="1099" spans="1:21" x14ac:dyDescent="0.3">
      <c r="A1099" s="4">
        <v>59323</v>
      </c>
      <c r="B1099" s="13">
        <f t="shared" si="31"/>
        <v>278.4791869</v>
      </c>
      <c r="C1099" s="12">
        <v>20.27391217416152</v>
      </c>
      <c r="D1099" s="5">
        <f t="shared" si="32"/>
        <v>6</v>
      </c>
      <c r="Q1099" s="4">
        <v>59323</v>
      </c>
      <c r="R1099" s="7">
        <v>20.54104036261818</v>
      </c>
      <c r="S1099" s="7">
        <v>27.468514673507581</v>
      </c>
      <c r="T1099" s="8">
        <v>0.56173740449804366</v>
      </c>
      <c r="U1099" s="7">
        <v>28.020441161069545</v>
      </c>
    </row>
    <row r="1100" spans="1:21" x14ac:dyDescent="0.3">
      <c r="A1100" s="4">
        <v>59353</v>
      </c>
      <c r="B1100" s="13">
        <f t="shared" si="31"/>
        <v>92.646544899999995</v>
      </c>
      <c r="C1100" s="12">
        <v>0.37247601953822579</v>
      </c>
      <c r="D1100" s="5">
        <f t="shared" si="32"/>
        <v>7</v>
      </c>
      <c r="Q1100" s="4">
        <v>59353</v>
      </c>
      <c r="R1100" s="7">
        <v>1.347874078698325</v>
      </c>
      <c r="S1100" s="7">
        <v>3.4086882496310977</v>
      </c>
      <c r="T1100" s="8">
        <v>0.12147156195928882</v>
      </c>
      <c r="U1100" s="7">
        <v>5.0340991862787883</v>
      </c>
    </row>
    <row r="1101" spans="1:21" x14ac:dyDescent="0.3">
      <c r="A1101" s="4">
        <v>59384</v>
      </c>
      <c r="B1101" s="13">
        <f t="shared" si="31"/>
        <v>245.68098119999999</v>
      </c>
      <c r="C1101" s="12">
        <v>0</v>
      </c>
      <c r="D1101" s="5">
        <f t="shared" si="32"/>
        <v>8</v>
      </c>
      <c r="Q1101" s="4">
        <v>59384</v>
      </c>
      <c r="R1101" s="7">
        <v>0</v>
      </c>
      <c r="S1101" s="7">
        <v>0</v>
      </c>
      <c r="T1101" s="8">
        <v>0</v>
      </c>
      <c r="U1101" s="7">
        <v>0</v>
      </c>
    </row>
    <row r="1102" spans="1:21" x14ac:dyDescent="0.3">
      <c r="A1102" s="4">
        <v>59415</v>
      </c>
      <c r="B1102" s="13">
        <f t="shared" si="31"/>
        <v>237.6622988</v>
      </c>
      <c r="C1102" s="12">
        <v>5.7822800663416229</v>
      </c>
      <c r="D1102" s="5">
        <f t="shared" si="32"/>
        <v>9</v>
      </c>
      <c r="Q1102" s="4">
        <v>59415</v>
      </c>
      <c r="R1102" s="7">
        <v>19.375470812402924</v>
      </c>
      <c r="S1102" s="7">
        <v>34.566058378618123</v>
      </c>
      <c r="T1102" s="8">
        <v>0.35939918282407207</v>
      </c>
      <c r="U1102" s="7">
        <v>34.578153688759826</v>
      </c>
    </row>
    <row r="1103" spans="1:21" x14ac:dyDescent="0.3">
      <c r="A1103" s="4">
        <v>59445</v>
      </c>
      <c r="B1103" s="13">
        <f t="shared" si="31"/>
        <v>132.45578080000001</v>
      </c>
      <c r="C1103" s="12">
        <v>59.758557222084995</v>
      </c>
      <c r="D1103" s="5">
        <f t="shared" si="32"/>
        <v>10</v>
      </c>
      <c r="Q1103" s="4">
        <v>59445</v>
      </c>
      <c r="R1103" s="7">
        <v>146.67246449336534</v>
      </c>
      <c r="S1103" s="7">
        <v>171.83805030524437</v>
      </c>
      <c r="T1103" s="8">
        <v>0.55727681173527088</v>
      </c>
      <c r="U1103" s="7">
        <v>167.75348819879545</v>
      </c>
    </row>
    <row r="1104" spans="1:21" x14ac:dyDescent="0.3">
      <c r="A1104" s="4">
        <v>59476</v>
      </c>
      <c r="B1104" s="13">
        <f t="shared" si="31"/>
        <v>66.5582864</v>
      </c>
      <c r="C1104" s="12">
        <v>15.488105302210903</v>
      </c>
      <c r="D1104" s="5">
        <f t="shared" si="32"/>
        <v>11</v>
      </c>
      <c r="Q1104" s="4">
        <v>59476</v>
      </c>
      <c r="R1104" s="7">
        <v>33.567759201550366</v>
      </c>
      <c r="S1104" s="7">
        <v>72.640795717319193</v>
      </c>
      <c r="T1104" s="8">
        <v>1.671894950847885E-2</v>
      </c>
      <c r="U1104" s="7">
        <v>75.643182249352364</v>
      </c>
    </row>
    <row r="1105" spans="1:21" x14ac:dyDescent="0.3">
      <c r="A1105" s="4">
        <v>59506</v>
      </c>
      <c r="B1105" s="13">
        <f t="shared" si="31"/>
        <v>8.6148074000000001</v>
      </c>
      <c r="C1105" s="12">
        <v>35.139564040582677</v>
      </c>
      <c r="D1105" s="5">
        <f t="shared" si="32"/>
        <v>12</v>
      </c>
      <c r="Q1105" s="4">
        <v>59506</v>
      </c>
      <c r="R1105" s="7">
        <v>74.135163487013031</v>
      </c>
      <c r="S1105" s="7">
        <v>90.377508469556531</v>
      </c>
      <c r="T1105" s="8">
        <v>3.5373918151795122E-2</v>
      </c>
      <c r="U1105" s="7">
        <v>89.846464913937851</v>
      </c>
    </row>
    <row r="1106" spans="1:21" x14ac:dyDescent="0.3">
      <c r="A1106" s="4">
        <v>59537</v>
      </c>
      <c r="B1106" s="13">
        <f t="shared" si="31"/>
        <v>32.132247599999999</v>
      </c>
      <c r="C1106" s="12">
        <v>146.37364782392979</v>
      </c>
      <c r="D1106" s="5">
        <f t="shared" si="32"/>
        <v>1</v>
      </c>
      <c r="Q1106" s="4">
        <v>59537</v>
      </c>
      <c r="R1106" s="7">
        <v>201.26779280496478</v>
      </c>
      <c r="S1106" s="7">
        <v>206.73664108965039</v>
      </c>
      <c r="T1106" s="8">
        <v>0.7365772380365434</v>
      </c>
      <c r="U1106" s="7">
        <v>208.82442276587429</v>
      </c>
    </row>
    <row r="1107" spans="1:21" x14ac:dyDescent="0.3">
      <c r="A1107" s="4">
        <v>59568</v>
      </c>
      <c r="B1107" s="13">
        <f t="shared" si="31"/>
        <v>43.015059200000003</v>
      </c>
      <c r="C1107" s="12">
        <v>122.43903111666431</v>
      </c>
      <c r="D1107" s="5">
        <f t="shared" si="32"/>
        <v>2</v>
      </c>
      <c r="Q1107" s="4">
        <v>59568</v>
      </c>
      <c r="R1107" s="7">
        <v>239.27282004787716</v>
      </c>
      <c r="S1107" s="7">
        <v>234.44012978538689</v>
      </c>
      <c r="T1107" s="8">
        <v>0.71454621695531606</v>
      </c>
      <c r="U1107" s="7">
        <v>232.88866100676435</v>
      </c>
    </row>
    <row r="1108" spans="1:21" x14ac:dyDescent="0.3">
      <c r="A1108" s="4">
        <v>59596</v>
      </c>
      <c r="B1108" s="13">
        <f t="shared" si="31"/>
        <v>75.940491399999999</v>
      </c>
      <c r="C1108" s="12">
        <v>88.323806470725728</v>
      </c>
      <c r="D1108" s="5">
        <f t="shared" si="32"/>
        <v>3</v>
      </c>
      <c r="Q1108" s="4">
        <v>59596</v>
      </c>
      <c r="R1108" s="7">
        <v>188.21201041381394</v>
      </c>
      <c r="S1108" s="7">
        <v>186.72870112016579</v>
      </c>
      <c r="T1108" s="8">
        <v>0.73088505164056938</v>
      </c>
      <c r="U1108" s="7">
        <v>186.31103562115365</v>
      </c>
    </row>
    <row r="1109" spans="1:21" x14ac:dyDescent="0.3">
      <c r="A1109" s="4">
        <v>59627</v>
      </c>
      <c r="B1109" s="13">
        <f t="shared" si="31"/>
        <v>143.45120650000001</v>
      </c>
      <c r="C1109" s="12">
        <v>114.53680519480247</v>
      </c>
      <c r="D1109" s="5">
        <f t="shared" si="32"/>
        <v>4</v>
      </c>
      <c r="Q1109" s="4">
        <v>59627</v>
      </c>
      <c r="R1109" s="7">
        <v>215.69705815177198</v>
      </c>
      <c r="S1109" s="7">
        <v>224.60126979867249</v>
      </c>
      <c r="T1109" s="8">
        <v>0.87417033789746901</v>
      </c>
      <c r="U1109" s="7">
        <v>224.39708474357846</v>
      </c>
    </row>
    <row r="1110" spans="1:21" x14ac:dyDescent="0.3">
      <c r="A1110" s="4">
        <v>59657</v>
      </c>
      <c r="B1110" s="13">
        <f t="shared" si="31"/>
        <v>309.71860800000002</v>
      </c>
      <c r="C1110" s="12">
        <v>57.767256698571018</v>
      </c>
      <c r="D1110" s="5">
        <f t="shared" si="32"/>
        <v>5</v>
      </c>
      <c r="Q1110" s="4">
        <v>59657</v>
      </c>
      <c r="R1110" s="7">
        <v>98.158002100651274</v>
      </c>
      <c r="S1110" s="7">
        <v>102.18354424638657</v>
      </c>
      <c r="T1110" s="8">
        <v>0.54540026027862454</v>
      </c>
      <c r="U1110" s="7">
        <v>100.97740738257937</v>
      </c>
    </row>
    <row r="1111" spans="1:21" x14ac:dyDescent="0.3">
      <c r="A1111" s="4">
        <v>59688</v>
      </c>
      <c r="B1111" s="13">
        <f t="shared" si="31"/>
        <v>333.00541329999999</v>
      </c>
      <c r="C1111" s="12">
        <v>0.53711762257080353</v>
      </c>
      <c r="D1111" s="5">
        <f t="shared" si="32"/>
        <v>6</v>
      </c>
      <c r="Q1111" s="4">
        <v>59688</v>
      </c>
      <c r="R1111" s="7">
        <v>0.54419466109562986</v>
      </c>
      <c r="S1111" s="7">
        <v>2.8639067489489816</v>
      </c>
      <c r="T1111" s="8">
        <v>7.1769236464967023E-2</v>
      </c>
      <c r="U1111" s="7">
        <v>5.4380440738606346</v>
      </c>
    </row>
    <row r="1112" spans="1:21" x14ac:dyDescent="0.3">
      <c r="A1112" s="4">
        <v>59718</v>
      </c>
      <c r="B1112" s="13">
        <f t="shared" si="31"/>
        <v>131.2796367</v>
      </c>
      <c r="C1112" s="12">
        <v>0.65767551977842109</v>
      </c>
      <c r="D1112" s="5">
        <f t="shared" si="32"/>
        <v>7</v>
      </c>
      <c r="Q1112" s="4">
        <v>59718</v>
      </c>
      <c r="R1112" s="7">
        <v>2.3799217635614984</v>
      </c>
      <c r="S1112" s="7">
        <v>5.1458086678295718</v>
      </c>
      <c r="T1112" s="8">
        <v>0.17393399561822623</v>
      </c>
      <c r="U1112" s="7">
        <v>6.8668643212385092</v>
      </c>
    </row>
    <row r="1113" spans="1:21" x14ac:dyDescent="0.3">
      <c r="A1113" s="4">
        <v>59749</v>
      </c>
      <c r="B1113" s="13">
        <f t="shared" si="31"/>
        <v>250.69021900000001</v>
      </c>
      <c r="C1113" s="12">
        <v>14.447976012888825</v>
      </c>
      <c r="D1113" s="5">
        <f t="shared" si="32"/>
        <v>8</v>
      </c>
      <c r="Q1113" s="4">
        <v>59749</v>
      </c>
      <c r="R1113" s="7">
        <v>78.579958073486807</v>
      </c>
      <c r="S1113" s="7">
        <v>59.427104343831253</v>
      </c>
      <c r="T1113" s="8">
        <v>0.88097420623484246</v>
      </c>
      <c r="U1113" s="7">
        <v>60.796532244018941</v>
      </c>
    </row>
    <row r="1114" spans="1:21" x14ac:dyDescent="0.3">
      <c r="A1114" s="4">
        <v>59780</v>
      </c>
      <c r="B1114" s="13">
        <f t="shared" si="31"/>
        <v>118.38131490000001</v>
      </c>
      <c r="C1114" s="12">
        <v>6.5713589137885826</v>
      </c>
      <c r="D1114" s="5">
        <f t="shared" si="32"/>
        <v>9</v>
      </c>
      <c r="Q1114" s="4">
        <v>59780</v>
      </c>
      <c r="R1114" s="7">
        <v>22.019544430764707</v>
      </c>
      <c r="S1114" s="7">
        <v>37.414861506103797</v>
      </c>
      <c r="T1114" s="8">
        <v>0.38813201331126351</v>
      </c>
      <c r="U1114" s="7">
        <v>37.100876559311367</v>
      </c>
    </row>
    <row r="1115" spans="1:21" x14ac:dyDescent="0.3">
      <c r="A1115" s="4">
        <v>59810</v>
      </c>
      <c r="B1115" s="13">
        <f t="shared" si="31"/>
        <v>107.1615019</v>
      </c>
      <c r="C1115" s="12">
        <v>106.70889018801985</v>
      </c>
      <c r="D1115" s="5">
        <f t="shared" si="32"/>
        <v>10</v>
      </c>
      <c r="Q1115" s="4">
        <v>59810</v>
      </c>
      <c r="R1115" s="7">
        <v>261.9081958264635</v>
      </c>
      <c r="S1115" s="7">
        <v>239.94840450091053</v>
      </c>
      <c r="T1115" s="8">
        <v>0.78872524491392326</v>
      </c>
      <c r="U1115" s="7">
        <v>234.80785213371814</v>
      </c>
    </row>
    <row r="1116" spans="1:21" x14ac:dyDescent="0.3">
      <c r="A1116" s="4">
        <v>59841</v>
      </c>
      <c r="B1116" s="13">
        <f t="shared" si="31"/>
        <v>69.903994800000007</v>
      </c>
      <c r="C1116" s="12">
        <v>114.32597727980469</v>
      </c>
      <c r="D1116" s="5">
        <f t="shared" si="32"/>
        <v>11</v>
      </c>
      <c r="Q1116" s="4">
        <v>59841</v>
      </c>
      <c r="R1116" s="7">
        <v>247.78155887554436</v>
      </c>
      <c r="S1116" s="7">
        <v>241.11483896019729</v>
      </c>
      <c r="T1116" s="8">
        <v>0.69510370316792847</v>
      </c>
      <c r="U1116" s="7">
        <v>238.49087269797576</v>
      </c>
    </row>
    <row r="1117" spans="1:21" x14ac:dyDescent="0.3">
      <c r="A1117" s="4">
        <v>59871</v>
      </c>
      <c r="B1117" s="13">
        <f t="shared" si="31"/>
        <v>32.782235300000004</v>
      </c>
      <c r="C1117" s="12">
        <v>32.62473259528641</v>
      </c>
      <c r="D1117" s="5">
        <f t="shared" si="32"/>
        <v>12</v>
      </c>
      <c r="Q1117" s="4">
        <v>59871</v>
      </c>
      <c r="R1117" s="7">
        <v>68.829535900853926</v>
      </c>
      <c r="S1117" s="7">
        <v>84.906129683104908</v>
      </c>
      <c r="T1117" s="8">
        <v>2.7796806547632127E-2</v>
      </c>
      <c r="U1117" s="7">
        <v>84.547935690416992</v>
      </c>
    </row>
    <row r="1118" spans="1:21" x14ac:dyDescent="0.3">
      <c r="A1118" s="4">
        <v>59902</v>
      </c>
      <c r="B1118" s="13">
        <f t="shared" si="31"/>
        <v>12.7690757</v>
      </c>
      <c r="C1118" s="12">
        <v>65.864460251759624</v>
      </c>
      <c r="D1118" s="5">
        <f t="shared" si="32"/>
        <v>1</v>
      </c>
      <c r="Q1118" s="4">
        <v>59902</v>
      </c>
      <c r="R1118" s="7">
        <v>90.565444916067619</v>
      </c>
      <c r="S1118" s="7">
        <v>72.117664500093909</v>
      </c>
      <c r="T1118" s="8">
        <v>0.15964363944043661</v>
      </c>
      <c r="U1118" s="7">
        <v>71.124105151253062</v>
      </c>
    </row>
    <row r="1119" spans="1:21" x14ac:dyDescent="0.3">
      <c r="A1119" s="4">
        <v>59933</v>
      </c>
      <c r="B1119" s="13">
        <f t="shared" si="31"/>
        <v>9.9442385000000009</v>
      </c>
      <c r="C1119" s="12">
        <v>203.3272145083173</v>
      </c>
      <c r="D1119" s="5">
        <f t="shared" si="32"/>
        <v>2</v>
      </c>
      <c r="Q1119" s="4">
        <v>59933</v>
      </c>
      <c r="R1119" s="7">
        <v>397.34613680116934</v>
      </c>
      <c r="S1119" s="7">
        <v>347.24502642969867</v>
      </c>
      <c r="T1119" s="8">
        <v>0.9476870726747435</v>
      </c>
      <c r="U1119" s="7">
        <v>349.92764872296675</v>
      </c>
    </row>
    <row r="1120" spans="1:21" x14ac:dyDescent="0.3">
      <c r="A1120" s="4">
        <v>59962</v>
      </c>
      <c r="B1120" s="13">
        <f t="shared" si="31"/>
        <v>64.800785300000001</v>
      </c>
      <c r="C1120" s="12">
        <v>47.37608566065321</v>
      </c>
      <c r="D1120" s="5">
        <f t="shared" si="32"/>
        <v>3</v>
      </c>
      <c r="Q1120" s="4">
        <v>59962</v>
      </c>
      <c r="R1120" s="7">
        <v>100.95520883923852</v>
      </c>
      <c r="S1120" s="7">
        <v>105.05190555541465</v>
      </c>
      <c r="T1120" s="8">
        <v>0.29466265152842552</v>
      </c>
      <c r="U1120" s="7">
        <v>104.93402936319092</v>
      </c>
    </row>
    <row r="1121" spans="1:21" x14ac:dyDescent="0.3">
      <c r="A1121" s="4">
        <v>59993</v>
      </c>
      <c r="B1121" s="13">
        <f t="shared" si="31"/>
        <v>189.7349432</v>
      </c>
      <c r="C1121" s="12">
        <v>69.403157802298765</v>
      </c>
      <c r="D1121" s="5">
        <f t="shared" si="32"/>
        <v>4</v>
      </c>
      <c r="Q1121" s="4">
        <v>59993</v>
      </c>
      <c r="R1121" s="7">
        <v>130.70084274603431</v>
      </c>
      <c r="S1121" s="7">
        <v>127.43849292024589</v>
      </c>
      <c r="T1121" s="8">
        <v>0.49516060323111771</v>
      </c>
      <c r="U1121" s="7">
        <v>128.19288256058564</v>
      </c>
    </row>
    <row r="1122" spans="1:21" x14ac:dyDescent="0.3">
      <c r="A1122" s="4">
        <v>60023</v>
      </c>
      <c r="B1122" s="13">
        <f t="shared" si="31"/>
        <v>154.8311099</v>
      </c>
      <c r="C1122" s="12">
        <v>69.741032371530224</v>
      </c>
      <c r="D1122" s="5">
        <f t="shared" si="32"/>
        <v>5</v>
      </c>
      <c r="Q1122" s="4">
        <v>60023</v>
      </c>
      <c r="R1122" s="7">
        <v>118.50381675118722</v>
      </c>
      <c r="S1122" s="7">
        <v>119.852636917372</v>
      </c>
      <c r="T1122" s="8">
        <v>0.65370317506630149</v>
      </c>
      <c r="U1122" s="7">
        <v>118.71938772665546</v>
      </c>
    </row>
    <row r="1123" spans="1:21" x14ac:dyDescent="0.3">
      <c r="A1123" s="4">
        <v>60054</v>
      </c>
      <c r="B1123" s="13">
        <f t="shared" si="31"/>
        <v>184.26165130000001</v>
      </c>
      <c r="C1123" s="12">
        <v>37.006979982834331</v>
      </c>
      <c r="D1123" s="5">
        <f t="shared" si="32"/>
        <v>6</v>
      </c>
      <c r="Q1123" s="4">
        <v>60054</v>
      </c>
      <c r="R1123" s="7">
        <v>37.494582347792054</v>
      </c>
      <c r="S1123" s="7">
        <v>39.954788521298852</v>
      </c>
      <c r="T1123" s="8">
        <v>0.72421730880208424</v>
      </c>
      <c r="U1123" s="7">
        <v>39.133095661768209</v>
      </c>
    </row>
    <row r="1124" spans="1:21" x14ac:dyDescent="0.3">
      <c r="A1124" s="4">
        <v>60084</v>
      </c>
      <c r="B1124" s="13">
        <f t="shared" si="31"/>
        <v>175.17198429999999</v>
      </c>
      <c r="C1124" s="12">
        <v>4.3710906978958439</v>
      </c>
      <c r="D1124" s="5">
        <f t="shared" si="32"/>
        <v>7</v>
      </c>
      <c r="Q1124" s="4">
        <v>60084</v>
      </c>
      <c r="R1124" s="7">
        <v>15.817608485607591</v>
      </c>
      <c r="S1124" s="7">
        <v>20.292565027694643</v>
      </c>
      <c r="T1124" s="8">
        <v>0.52457608259350652</v>
      </c>
      <c r="U1124" s="7">
        <v>20.971793579234998</v>
      </c>
    </row>
    <row r="1125" spans="1:21" x14ac:dyDescent="0.3">
      <c r="A1125" s="4">
        <v>60115</v>
      </c>
      <c r="B1125" s="13">
        <f t="shared" si="31"/>
        <v>162.4463945</v>
      </c>
      <c r="C1125" s="12">
        <v>0.16267969683667619</v>
      </c>
      <c r="D1125" s="5">
        <f t="shared" si="32"/>
        <v>8</v>
      </c>
      <c r="Q1125" s="4">
        <v>60115</v>
      </c>
      <c r="R1125" s="7">
        <v>0.88478578213513848</v>
      </c>
      <c r="S1125" s="7">
        <v>16.581106122042542</v>
      </c>
      <c r="T1125" s="8">
        <v>0.11645254297085952</v>
      </c>
      <c r="U1125" s="7">
        <v>8.9934538848490941</v>
      </c>
    </row>
    <row r="1126" spans="1:21" x14ac:dyDescent="0.3">
      <c r="A1126" s="4">
        <v>60146</v>
      </c>
      <c r="B1126" s="13">
        <f t="shared" si="31"/>
        <v>117.9125966</v>
      </c>
      <c r="C1126" s="12">
        <v>12.942211833433253</v>
      </c>
      <c r="D1126" s="5">
        <f t="shared" si="32"/>
        <v>9</v>
      </c>
      <c r="Q1126" s="4">
        <v>60146</v>
      </c>
      <c r="R1126" s="7">
        <v>43.367226206543016</v>
      </c>
      <c r="S1126" s="7">
        <v>56.921423518190338</v>
      </c>
      <c r="T1126" s="8">
        <v>0.56586147904988315</v>
      </c>
      <c r="U1126" s="7">
        <v>54.728654206487477</v>
      </c>
    </row>
    <row r="1127" spans="1:21" x14ac:dyDescent="0.3">
      <c r="A1127" s="4">
        <v>60176</v>
      </c>
      <c r="B1127" s="13">
        <f t="shared" si="31"/>
        <v>142.51482279999999</v>
      </c>
      <c r="C1127" s="12">
        <v>102.12945195380594</v>
      </c>
      <c r="D1127" s="5">
        <f t="shared" si="32"/>
        <v>10</v>
      </c>
      <c r="Q1127" s="4">
        <v>60176</v>
      </c>
      <c r="R1127" s="7">
        <v>250.66834126787541</v>
      </c>
      <c r="S1127" s="7">
        <v>233.96355567376392</v>
      </c>
      <c r="T1127" s="8">
        <v>0.77262446275017116</v>
      </c>
      <c r="U1127" s="7">
        <v>228.68583905538279</v>
      </c>
    </row>
    <row r="1128" spans="1:21" x14ac:dyDescent="0.3">
      <c r="A1128" s="4">
        <v>60207</v>
      </c>
      <c r="B1128" s="13">
        <f t="shared" si="31"/>
        <v>98.909064700000002</v>
      </c>
      <c r="C1128" s="12">
        <v>67.792513815220317</v>
      </c>
      <c r="D1128" s="5">
        <f t="shared" si="32"/>
        <v>11</v>
      </c>
      <c r="Q1128" s="4">
        <v>60207</v>
      </c>
      <c r="R1128" s="7">
        <v>146.92841603370604</v>
      </c>
      <c r="S1128" s="7">
        <v>176.19979951795904</v>
      </c>
      <c r="T1128" s="8">
        <v>0.36851768309690813</v>
      </c>
      <c r="U1128" s="7">
        <v>172.24142510917889</v>
      </c>
    </row>
    <row r="1129" spans="1:21" x14ac:dyDescent="0.3">
      <c r="A1129" s="4">
        <v>60237</v>
      </c>
      <c r="B1129" s="13">
        <f t="shared" si="31"/>
        <v>17.163163999999998</v>
      </c>
      <c r="C1129" s="12">
        <v>164.51669151429084</v>
      </c>
      <c r="D1129" s="5">
        <f t="shared" si="32"/>
        <v>12</v>
      </c>
      <c r="Q1129" s="4">
        <v>60237</v>
      </c>
      <c r="R1129" s="7">
        <v>347.08660038208609</v>
      </c>
      <c r="S1129" s="7">
        <v>331.03141228813632</v>
      </c>
      <c r="T1129" s="8">
        <v>0.85275278853634773</v>
      </c>
      <c r="U1129" s="7">
        <v>332.30304863773495</v>
      </c>
    </row>
    <row r="1130" spans="1:21" x14ac:dyDescent="0.3">
      <c r="A1130" s="4">
        <v>60268</v>
      </c>
      <c r="B1130" s="13">
        <f t="shared" si="31"/>
        <v>31.972822699999998</v>
      </c>
      <c r="C1130" s="12">
        <v>3.4839379353797981</v>
      </c>
      <c r="D1130" s="5">
        <f t="shared" si="32"/>
        <v>1</v>
      </c>
      <c r="Q1130" s="4">
        <v>60268</v>
      </c>
      <c r="R1130" s="7">
        <v>4.7905105116109707</v>
      </c>
      <c r="S1130" s="7">
        <v>1.4944635187247801</v>
      </c>
      <c r="T1130" s="8">
        <v>1.1024474203267479E-6</v>
      </c>
      <c r="U1130" s="7">
        <v>0.71376906328951617</v>
      </c>
    </row>
    <row r="1131" spans="1:21" x14ac:dyDescent="0.3">
      <c r="A1131" s="4">
        <v>60299</v>
      </c>
      <c r="B1131" s="13">
        <f t="shared" si="31"/>
        <v>43.833548399999998</v>
      </c>
      <c r="C1131" s="12">
        <v>155.74280088767401</v>
      </c>
      <c r="D1131" s="5">
        <f t="shared" si="32"/>
        <v>2</v>
      </c>
      <c r="Q1131" s="4">
        <v>60299</v>
      </c>
      <c r="R1131" s="7">
        <v>304.35571754109469</v>
      </c>
      <c r="S1131" s="7">
        <v>282.46085690482573</v>
      </c>
      <c r="T1131" s="8">
        <v>0.85171167297775852</v>
      </c>
      <c r="U1131" s="7">
        <v>281.96757623156401</v>
      </c>
    </row>
    <row r="1132" spans="1:21" x14ac:dyDescent="0.3">
      <c r="A1132" s="4">
        <v>60327</v>
      </c>
      <c r="B1132" s="13">
        <f t="shared" si="31"/>
        <v>33.213593299999999</v>
      </c>
      <c r="C1132" s="12">
        <v>148.60536600463104</v>
      </c>
      <c r="D1132" s="5">
        <f t="shared" si="32"/>
        <v>3</v>
      </c>
      <c r="Q1132" s="4">
        <v>60327</v>
      </c>
      <c r="R1132" s="7">
        <v>316.66790429013577</v>
      </c>
      <c r="S1132" s="7">
        <v>301.90345267756391</v>
      </c>
      <c r="T1132" s="8">
        <v>0.96322599820097188</v>
      </c>
      <c r="U1132" s="7">
        <v>303.02555931203369</v>
      </c>
    </row>
    <row r="1133" spans="1:21" x14ac:dyDescent="0.3">
      <c r="A1133" s="4">
        <v>60358</v>
      </c>
      <c r="B1133" s="13">
        <f t="shared" si="31"/>
        <v>63.5874576</v>
      </c>
      <c r="C1133" s="12">
        <v>0.80906924449663997</v>
      </c>
      <c r="D1133" s="5">
        <f t="shared" si="32"/>
        <v>4</v>
      </c>
      <c r="Q1133" s="4">
        <v>60358</v>
      </c>
      <c r="R1133" s="7">
        <v>1.5236487134610699</v>
      </c>
      <c r="S1133" s="7">
        <v>0.82839220109869516</v>
      </c>
      <c r="T1133" s="8">
        <v>7.7764926509514499E-9</v>
      </c>
      <c r="U1133" s="7">
        <v>0.59675856961519391</v>
      </c>
    </row>
    <row r="1134" spans="1:21" x14ac:dyDescent="0.3">
      <c r="A1134" s="4">
        <v>60388</v>
      </c>
      <c r="B1134" s="13">
        <f t="shared" si="31"/>
        <v>186.61195670000001</v>
      </c>
      <c r="C1134" s="12">
        <v>0.17473082784817953</v>
      </c>
      <c r="D1134" s="5">
        <f t="shared" si="32"/>
        <v>5</v>
      </c>
      <c r="Q1134" s="4">
        <v>60388</v>
      </c>
      <c r="R1134" s="7">
        <v>0.29690225825444833</v>
      </c>
      <c r="S1134" s="7">
        <v>0.75205528641821073</v>
      </c>
      <c r="T1134" s="8">
        <v>4.3306899065323309E-6</v>
      </c>
      <c r="U1134" s="7">
        <v>1.0572303194912724</v>
      </c>
    </row>
    <row r="1135" spans="1:21" x14ac:dyDescent="0.3">
      <c r="A1135" s="4">
        <v>60419</v>
      </c>
      <c r="B1135" s="13">
        <f t="shared" si="31"/>
        <v>159.8899773</v>
      </c>
      <c r="C1135" s="12">
        <v>0.15126014488942008</v>
      </c>
      <c r="D1135" s="5">
        <f t="shared" si="32"/>
        <v>6</v>
      </c>
      <c r="Q1135" s="4">
        <v>60419</v>
      </c>
      <c r="R1135" s="7">
        <v>0.15325314200526527</v>
      </c>
      <c r="S1135" s="7">
        <v>1.3009868173612444</v>
      </c>
      <c r="T1135" s="8">
        <v>3.3394290944481132E-2</v>
      </c>
      <c r="U1135" s="7">
        <v>3.3113168091329084</v>
      </c>
    </row>
    <row r="1136" spans="1:21" x14ac:dyDescent="0.3">
      <c r="A1136" s="4">
        <v>60449</v>
      </c>
      <c r="B1136" s="13">
        <f t="shared" si="31"/>
        <v>88.909089499999993</v>
      </c>
      <c r="C1136" s="12">
        <v>4.6112231729012E-2</v>
      </c>
      <c r="D1136" s="5">
        <f t="shared" si="32"/>
        <v>7</v>
      </c>
      <c r="Q1136" s="4">
        <v>60449</v>
      </c>
      <c r="R1136" s="7">
        <v>0.16686572718297413</v>
      </c>
      <c r="S1136" s="7">
        <v>0.75048769344720156</v>
      </c>
      <c r="T1136" s="8">
        <v>3.1664066505200691E-2</v>
      </c>
      <c r="U1136" s="7">
        <v>1.6928256836334523</v>
      </c>
    </row>
    <row r="1137" spans="1:21" x14ac:dyDescent="0.3">
      <c r="A1137" s="4">
        <v>60480</v>
      </c>
      <c r="B1137" s="13">
        <f t="shared" si="31"/>
        <v>60.569590300000002</v>
      </c>
      <c r="C1137" s="12">
        <v>17.615202283195693</v>
      </c>
      <c r="D1137" s="5">
        <f t="shared" si="32"/>
        <v>8</v>
      </c>
      <c r="Q1137" s="4">
        <v>60480</v>
      </c>
      <c r="R1137" s="7">
        <v>95.805935422005177</v>
      </c>
      <c r="S1137" s="7">
        <v>62.874688393770434</v>
      </c>
      <c r="T1137" s="8">
        <v>0.915753908096539</v>
      </c>
      <c r="U1137" s="7">
        <v>68.209889801812551</v>
      </c>
    </row>
    <row r="1138" spans="1:21" x14ac:dyDescent="0.3">
      <c r="A1138" s="4">
        <v>60511</v>
      </c>
      <c r="B1138" s="13">
        <f t="shared" si="31"/>
        <v>166.50195579999999</v>
      </c>
      <c r="C1138" s="12">
        <v>16.550974367419268</v>
      </c>
      <c r="D1138" s="5">
        <f t="shared" si="32"/>
        <v>9</v>
      </c>
      <c r="Q1138" s="4">
        <v>60511</v>
      </c>
      <c r="R1138" s="7">
        <v>55.459596749635317</v>
      </c>
      <c r="S1138" s="7">
        <v>66.283287530384669</v>
      </c>
      <c r="T1138" s="8">
        <v>0.63795963803896449</v>
      </c>
      <c r="U1138" s="7">
        <v>63.480984097073183</v>
      </c>
    </row>
    <row r="1139" spans="1:21" x14ac:dyDescent="0.3">
      <c r="A1139" s="4">
        <v>60541</v>
      </c>
      <c r="B1139" s="13">
        <f t="shared" si="31"/>
        <v>252.6624587</v>
      </c>
      <c r="C1139" s="12">
        <v>4.9344844745064576</v>
      </c>
      <c r="D1139" s="5">
        <f t="shared" si="32"/>
        <v>10</v>
      </c>
      <c r="Q1139" s="4">
        <v>60541</v>
      </c>
      <c r="R1139" s="7">
        <v>12.11128635837669</v>
      </c>
      <c r="S1139" s="7">
        <v>40.8682468583917</v>
      </c>
      <c r="T1139" s="8">
        <v>4.3362285986564712E-2</v>
      </c>
      <c r="U1139" s="7">
        <v>50.334690861215527</v>
      </c>
    </row>
    <row r="1140" spans="1:21" x14ac:dyDescent="0.3">
      <c r="A1140" s="4">
        <v>60572</v>
      </c>
      <c r="B1140" s="13">
        <f t="shared" si="31"/>
        <v>44.755962799999999</v>
      </c>
      <c r="C1140" s="12">
        <v>80.300843110307952</v>
      </c>
      <c r="D1140" s="5">
        <f t="shared" si="32"/>
        <v>11</v>
      </c>
      <c r="Q1140" s="4">
        <v>60572</v>
      </c>
      <c r="R1140" s="7">
        <v>174.03803193561131</v>
      </c>
      <c r="S1140" s="7">
        <v>195.04804015274783</v>
      </c>
      <c r="T1140" s="8">
        <v>0.46921214414822698</v>
      </c>
      <c r="U1140" s="7">
        <v>190.96654581169258</v>
      </c>
    </row>
    <row r="1141" spans="1:21" x14ac:dyDescent="0.3">
      <c r="A1141" s="4">
        <v>60602</v>
      </c>
      <c r="B1141" s="13">
        <f t="shared" si="31"/>
        <v>31.141248600000001</v>
      </c>
      <c r="C1141" s="12">
        <v>156.09158413717532</v>
      </c>
      <c r="D1141" s="5">
        <f t="shared" si="32"/>
        <v>12</v>
      </c>
      <c r="Q1141" s="4">
        <v>60602</v>
      </c>
      <c r="R1141" s="7">
        <v>329.31185758571127</v>
      </c>
      <c r="S1141" s="7">
        <v>316.71532656804141</v>
      </c>
      <c r="T1141" s="8">
        <v>0.82266575685139243</v>
      </c>
      <c r="U1141" s="7">
        <v>317.34790591488968</v>
      </c>
    </row>
    <row r="1142" spans="1:21" x14ac:dyDescent="0.3">
      <c r="A1142" s="4">
        <v>60633</v>
      </c>
      <c r="B1142" s="13">
        <f t="shared" si="31"/>
        <v>98.952740800000001</v>
      </c>
      <c r="C1142" s="12">
        <v>153.83462909376235</v>
      </c>
      <c r="D1142" s="5">
        <f t="shared" si="32"/>
        <v>1</v>
      </c>
      <c r="Q1142" s="4">
        <v>60633</v>
      </c>
      <c r="R1142" s="7">
        <v>211.52684731827921</v>
      </c>
      <c r="S1142" s="7">
        <v>220.74555911270019</v>
      </c>
      <c r="T1142" s="8">
        <v>0.77312675365997829</v>
      </c>
      <c r="U1142" s="7">
        <v>222.65743037941797</v>
      </c>
    </row>
    <row r="1143" spans="1:21" x14ac:dyDescent="0.3">
      <c r="A1143" s="4">
        <v>60664</v>
      </c>
      <c r="B1143" s="13">
        <f t="shared" si="31"/>
        <v>65.492701299999993</v>
      </c>
      <c r="C1143" s="12">
        <v>63.78824973944571</v>
      </c>
      <c r="D1143" s="5">
        <f t="shared" si="32"/>
        <v>2</v>
      </c>
      <c r="Q1143" s="4">
        <v>60664</v>
      </c>
      <c r="R1143" s="7">
        <v>124.6562820848566</v>
      </c>
      <c r="S1143" s="7">
        <v>141.48450585287048</v>
      </c>
      <c r="T1143" s="8">
        <v>0.29195223537730908</v>
      </c>
      <c r="U1143" s="7">
        <v>141.03322762420817</v>
      </c>
    </row>
    <row r="1144" spans="1:21" x14ac:dyDescent="0.3">
      <c r="A1144" s="4">
        <v>60692</v>
      </c>
      <c r="B1144" s="13">
        <f t="shared" si="31"/>
        <v>154.17500000000001</v>
      </c>
      <c r="C1144" s="12">
        <v>67.611776827834419</v>
      </c>
      <c r="D1144" s="5">
        <f t="shared" si="32"/>
        <v>3</v>
      </c>
      <c r="Q1144" s="4">
        <v>60692</v>
      </c>
      <c r="R1144" s="7">
        <v>144.07608721703539</v>
      </c>
      <c r="S1144" s="7">
        <v>145.89522909880364</v>
      </c>
      <c r="T1144" s="8">
        <v>0.53616182357328734</v>
      </c>
      <c r="U1144" s="7">
        <v>145.48012069224146</v>
      </c>
    </row>
    <row r="1145" spans="1:21" x14ac:dyDescent="0.3">
      <c r="A1145" s="4">
        <v>60723</v>
      </c>
      <c r="B1145" s="13">
        <f t="shared" si="31"/>
        <v>159.02292009999999</v>
      </c>
      <c r="C1145" s="12">
        <v>18.849831278203059</v>
      </c>
      <c r="D1145" s="5">
        <f t="shared" si="32"/>
        <v>4</v>
      </c>
      <c r="Q1145" s="4">
        <v>60723</v>
      </c>
      <c r="R1145" s="7">
        <v>35.498223880529181</v>
      </c>
      <c r="S1145" s="7">
        <v>29.171406049333264</v>
      </c>
      <c r="T1145" s="8">
        <v>1.0858371053048972E-2</v>
      </c>
      <c r="U1145" s="7">
        <v>28.320348408542646</v>
      </c>
    </row>
    <row r="1146" spans="1:21" x14ac:dyDescent="0.3">
      <c r="A1146" s="4">
        <v>60753</v>
      </c>
      <c r="B1146" s="13">
        <f t="shared" si="31"/>
        <v>259.27815950000002</v>
      </c>
      <c r="C1146" s="12">
        <v>12.916328647406772</v>
      </c>
      <c r="D1146" s="5">
        <f t="shared" si="32"/>
        <v>5</v>
      </c>
      <c r="Q1146" s="4">
        <v>60753</v>
      </c>
      <c r="R1146" s="7">
        <v>21.947398698893355</v>
      </c>
      <c r="S1146" s="7">
        <v>28.744771783638647</v>
      </c>
      <c r="T1146" s="8">
        <v>5.128389393935974E-2</v>
      </c>
      <c r="U1146" s="7">
        <v>29.17362457112128</v>
      </c>
    </row>
    <row r="1147" spans="1:21" x14ac:dyDescent="0.3">
      <c r="A1147" s="4">
        <v>60784</v>
      </c>
      <c r="B1147" s="13">
        <f t="shared" si="31"/>
        <v>248.2512285</v>
      </c>
      <c r="C1147" s="12">
        <v>1.5703285880590554</v>
      </c>
      <c r="D1147" s="5">
        <f t="shared" si="32"/>
        <v>6</v>
      </c>
      <c r="Q1147" s="4">
        <v>60784</v>
      </c>
      <c r="R1147" s="7">
        <v>1.591019169502164</v>
      </c>
      <c r="S1147" s="7">
        <v>5.5856831041814958</v>
      </c>
      <c r="T1147" s="8">
        <v>0.13643086401164531</v>
      </c>
      <c r="U1147" s="7">
        <v>8.4451965374752849</v>
      </c>
    </row>
    <row r="1148" spans="1:21" x14ac:dyDescent="0.3">
      <c r="A1148" s="4">
        <v>60814</v>
      </c>
      <c r="B1148" s="13">
        <f t="shared" si="31"/>
        <v>83.710898</v>
      </c>
      <c r="C1148" s="12">
        <v>6.4157498258054918E-2</v>
      </c>
      <c r="D1148" s="5">
        <f t="shared" si="32"/>
        <v>7</v>
      </c>
      <c r="Q1148" s="4">
        <v>60814</v>
      </c>
      <c r="R1148" s="7">
        <v>0.23216589611157623</v>
      </c>
      <c r="S1148" s="7">
        <v>0.95333719478041201</v>
      </c>
      <c r="T1148" s="8">
        <v>3.9209580134306164E-2</v>
      </c>
      <c r="U1148" s="7">
        <v>2.0037055914524857</v>
      </c>
    </row>
    <row r="1149" spans="1:21" x14ac:dyDescent="0.3">
      <c r="A1149" s="4">
        <v>60845</v>
      </c>
      <c r="B1149" s="13">
        <f t="shared" si="31"/>
        <v>65.304975499999998</v>
      </c>
      <c r="C1149" s="12">
        <v>0</v>
      </c>
      <c r="D1149" s="5">
        <f t="shared" si="32"/>
        <v>8</v>
      </c>
      <c r="Q1149" s="4">
        <v>60845</v>
      </c>
      <c r="R1149" s="7">
        <v>0</v>
      </c>
      <c r="S1149" s="7">
        <v>0</v>
      </c>
      <c r="T1149" s="8">
        <v>0</v>
      </c>
      <c r="U1149" s="7">
        <v>0</v>
      </c>
    </row>
    <row r="1150" spans="1:21" x14ac:dyDescent="0.3">
      <c r="A1150" s="4">
        <v>60876</v>
      </c>
      <c r="B1150" s="13">
        <f t="shared" si="31"/>
        <v>24.193040199999999</v>
      </c>
      <c r="C1150" s="12">
        <v>14.413732074899604</v>
      </c>
      <c r="D1150" s="5">
        <f t="shared" si="32"/>
        <v>9</v>
      </c>
      <c r="Q1150" s="4">
        <v>60876</v>
      </c>
      <c r="R1150" s="7">
        <v>48.298048851117926</v>
      </c>
      <c r="S1150" s="7">
        <v>60.845628771821467</v>
      </c>
      <c r="T1150" s="8">
        <v>0.59716522865185251</v>
      </c>
      <c r="U1150" s="7">
        <v>58.371450373786466</v>
      </c>
    </row>
    <row r="1151" spans="1:21" x14ac:dyDescent="0.3">
      <c r="A1151" s="4">
        <v>60906</v>
      </c>
      <c r="B1151" s="13">
        <f t="shared" si="31"/>
        <v>14.619989199999999</v>
      </c>
      <c r="C1151" s="12">
        <v>48.387781792553113</v>
      </c>
      <c r="D1151" s="5">
        <f t="shared" si="32"/>
        <v>10</v>
      </c>
      <c r="Q1151" s="4">
        <v>60906</v>
      </c>
      <c r="R1151" s="7">
        <v>118.76383127031148</v>
      </c>
      <c r="S1151" s="7">
        <v>152.17197743831775</v>
      </c>
      <c r="T1151" s="8">
        <v>0.4737040421603233</v>
      </c>
      <c r="U1151" s="7">
        <v>149.39961785385722</v>
      </c>
    </row>
    <row r="1152" spans="1:21" x14ac:dyDescent="0.3">
      <c r="A1152" s="4">
        <v>60937</v>
      </c>
      <c r="B1152" s="13">
        <f t="shared" ref="B1152:B1215" si="33">B771</f>
        <v>39.7721181</v>
      </c>
      <c r="C1152" s="12">
        <v>38.740777439670573</v>
      </c>
      <c r="D1152" s="5">
        <f t="shared" si="32"/>
        <v>11</v>
      </c>
      <c r="Q1152" s="4">
        <v>60937</v>
      </c>
      <c r="R1152" s="7">
        <v>83.963858909848753</v>
      </c>
      <c r="S1152" s="7">
        <v>125.93715410626729</v>
      </c>
      <c r="T1152" s="8">
        <v>0.13544469223537839</v>
      </c>
      <c r="U1152" s="7">
        <v>124.20056144048547</v>
      </c>
    </row>
    <row r="1153" spans="1:21" x14ac:dyDescent="0.3">
      <c r="A1153" s="4">
        <v>60967</v>
      </c>
      <c r="B1153" s="13">
        <f t="shared" si="33"/>
        <v>64.986418599999993</v>
      </c>
      <c r="C1153" s="12">
        <v>128.22257510852057</v>
      </c>
      <c r="D1153" s="5">
        <f t="shared" si="32"/>
        <v>12</v>
      </c>
      <c r="Q1153" s="4">
        <v>60967</v>
      </c>
      <c r="R1153" s="7">
        <v>270.5156375138215</v>
      </c>
      <c r="S1153" s="7">
        <v>268.43319255697918</v>
      </c>
      <c r="T1153" s="8">
        <v>0.68647351222898001</v>
      </c>
      <c r="U1153" s="7">
        <v>267.3878208563512</v>
      </c>
    </row>
    <row r="1154" spans="1:21" x14ac:dyDescent="0.3">
      <c r="A1154" s="4">
        <v>60998</v>
      </c>
      <c r="B1154" s="13">
        <f t="shared" si="33"/>
        <v>105.70541179999999</v>
      </c>
      <c r="C1154" s="12">
        <v>113.1561096059159</v>
      </c>
      <c r="D1154" s="5">
        <f t="shared" si="32"/>
        <v>1</v>
      </c>
      <c r="Q1154" s="4">
        <v>60998</v>
      </c>
      <c r="R1154" s="7">
        <v>155.59276387082065</v>
      </c>
      <c r="S1154" s="7">
        <v>147.2296902843232</v>
      </c>
      <c r="T1154" s="8">
        <v>0.52431573126561215</v>
      </c>
      <c r="U1154" s="7">
        <v>149.01680237399844</v>
      </c>
    </row>
    <row r="1155" spans="1:21" x14ac:dyDescent="0.3">
      <c r="A1155" s="4">
        <v>61029</v>
      </c>
      <c r="B1155" s="13">
        <f t="shared" si="33"/>
        <v>251.67476869999999</v>
      </c>
      <c r="C1155" s="12">
        <v>154.40466189756998</v>
      </c>
      <c r="D1155" s="5">
        <f t="shared" ref="D1155:D1218" si="34">MONTH(A1155)</f>
        <v>2</v>
      </c>
      <c r="Q1155" s="4">
        <v>61029</v>
      </c>
      <c r="R1155" s="7">
        <v>301.74069938178627</v>
      </c>
      <c r="S1155" s="7">
        <v>280.57939044402116</v>
      </c>
      <c r="T1155" s="8">
        <v>0.84754977330635395</v>
      </c>
      <c r="U1155" s="7">
        <v>280.02366884161461</v>
      </c>
    </row>
    <row r="1156" spans="1:21" x14ac:dyDescent="0.3">
      <c r="A1156" s="4">
        <v>61057</v>
      </c>
      <c r="B1156" s="13">
        <f t="shared" si="33"/>
        <v>144.34891440000001</v>
      </c>
      <c r="C1156" s="12">
        <v>75.150904676411386</v>
      </c>
      <c r="D1156" s="5">
        <f t="shared" si="34"/>
        <v>3</v>
      </c>
      <c r="Q1156" s="4">
        <v>61057</v>
      </c>
      <c r="R1156" s="7">
        <v>160.14145470793656</v>
      </c>
      <c r="S1156" s="7">
        <v>160.85621573629317</v>
      </c>
      <c r="T1156" s="8">
        <v>0.6151296448874185</v>
      </c>
      <c r="U1156" s="7">
        <v>160.40552807792062</v>
      </c>
    </row>
    <row r="1157" spans="1:21" x14ac:dyDescent="0.3">
      <c r="A1157" s="4">
        <v>61088</v>
      </c>
      <c r="B1157" s="13">
        <f t="shared" si="33"/>
        <v>226.66548710000001</v>
      </c>
      <c r="C1157" s="12">
        <v>23.961109283845882</v>
      </c>
      <c r="D1157" s="5">
        <f t="shared" si="34"/>
        <v>4</v>
      </c>
      <c r="Q1157" s="4">
        <v>61088</v>
      </c>
      <c r="R1157" s="7">
        <v>45.123842714037927</v>
      </c>
      <c r="S1157" s="7">
        <v>38.267343467181583</v>
      </c>
      <c r="T1157" s="8">
        <v>2.6439559497451873E-2</v>
      </c>
      <c r="U1157" s="7">
        <v>37.60031947661723</v>
      </c>
    </row>
    <row r="1158" spans="1:21" x14ac:dyDescent="0.3">
      <c r="A1158" s="4">
        <v>61118</v>
      </c>
      <c r="B1158" s="13">
        <f t="shared" si="33"/>
        <v>163.05918790000001</v>
      </c>
      <c r="C1158" s="12">
        <v>70.811323821544661</v>
      </c>
      <c r="D1158" s="5">
        <f t="shared" si="34"/>
        <v>5</v>
      </c>
      <c r="Q1158" s="4">
        <v>61118</v>
      </c>
      <c r="R1158" s="7">
        <v>120.32245375081169</v>
      </c>
      <c r="S1158" s="7">
        <v>121.40820389184128</v>
      </c>
      <c r="T1158" s="8">
        <v>0.66234337649684383</v>
      </c>
      <c r="U1158" s="7">
        <v>120.29069803678108</v>
      </c>
    </row>
    <row r="1159" spans="1:21" x14ac:dyDescent="0.3">
      <c r="A1159" s="4">
        <v>61149</v>
      </c>
      <c r="B1159" s="13">
        <f t="shared" si="33"/>
        <v>158.24643040000001</v>
      </c>
      <c r="C1159" s="12">
        <v>5.3203248971840473</v>
      </c>
      <c r="D1159" s="5">
        <f t="shared" si="34"/>
        <v>6</v>
      </c>
      <c r="Q1159" s="4">
        <v>61149</v>
      </c>
      <c r="R1159" s="7">
        <v>5.3904252675307696</v>
      </c>
      <c r="S1159" s="7">
        <v>11.941569189757121</v>
      </c>
      <c r="T1159" s="8">
        <v>0.27790177814761596</v>
      </c>
      <c r="U1159" s="7">
        <v>14.453171845311998</v>
      </c>
    </row>
    <row r="1160" spans="1:21" x14ac:dyDescent="0.3">
      <c r="A1160" s="4">
        <v>61179</v>
      </c>
      <c r="B1160" s="13">
        <f t="shared" si="33"/>
        <v>277.81346819999999</v>
      </c>
      <c r="C1160" s="12">
        <v>7.944315910572187</v>
      </c>
      <c r="D1160" s="5">
        <f t="shared" si="34"/>
        <v>7</v>
      </c>
      <c r="Q1160" s="4">
        <v>61179</v>
      </c>
      <c r="R1160" s="7">
        <v>28.747991621382802</v>
      </c>
      <c r="S1160" s="7">
        <v>31.282182540282623</v>
      </c>
      <c r="T1160" s="8">
        <v>0.69137820194622313</v>
      </c>
      <c r="U1160" s="7">
        <v>30.98796716599448</v>
      </c>
    </row>
    <row r="1161" spans="1:21" x14ac:dyDescent="0.3">
      <c r="A1161" s="4">
        <v>61210</v>
      </c>
      <c r="B1161" s="13">
        <f t="shared" si="33"/>
        <v>80.799814400000002</v>
      </c>
      <c r="C1161" s="12">
        <v>6.3175047449476489</v>
      </c>
      <c r="D1161" s="5">
        <f t="shared" si="34"/>
        <v>8</v>
      </c>
      <c r="Q1161" s="4">
        <v>61210</v>
      </c>
      <c r="R1161" s="7">
        <v>34.359778666865381</v>
      </c>
      <c r="S1161" s="7">
        <v>46.96443494665894</v>
      </c>
      <c r="T1161" s="8">
        <v>0.68987663315492653</v>
      </c>
      <c r="U1161" s="7">
        <v>39.112528154059518</v>
      </c>
    </row>
    <row r="1162" spans="1:21" x14ac:dyDescent="0.3">
      <c r="A1162" s="4">
        <v>61241</v>
      </c>
      <c r="B1162" s="13">
        <f t="shared" si="33"/>
        <v>21.379026100000001</v>
      </c>
      <c r="C1162" s="12">
        <v>5.7852627796819442</v>
      </c>
      <c r="D1162" s="5">
        <f t="shared" si="34"/>
        <v>9</v>
      </c>
      <c r="Q1162" s="4">
        <v>61241</v>
      </c>
      <c r="R1162" s="7">
        <v>19.385465394921255</v>
      </c>
      <c r="S1162" s="7">
        <v>34.577095971605161</v>
      </c>
      <c r="T1162" s="8">
        <v>0.35951167106937998</v>
      </c>
      <c r="U1162" s="7">
        <v>34.587911944160382</v>
      </c>
    </row>
    <row r="1163" spans="1:21" x14ac:dyDescent="0.3">
      <c r="A1163" s="4">
        <v>61271</v>
      </c>
      <c r="B1163" s="13">
        <f t="shared" si="33"/>
        <v>70.4706458</v>
      </c>
      <c r="C1163" s="12">
        <v>105.89942999649786</v>
      </c>
      <c r="D1163" s="5">
        <f t="shared" si="34"/>
        <v>10</v>
      </c>
      <c r="Q1163" s="4">
        <v>61271</v>
      </c>
      <c r="R1163" s="7">
        <v>259.92144235183434</v>
      </c>
      <c r="S1163" s="7">
        <v>238.89857105954687</v>
      </c>
      <c r="T1163" s="8">
        <v>0.78596131137220204</v>
      </c>
      <c r="U1163" s="7">
        <v>233.73064909325342</v>
      </c>
    </row>
    <row r="1164" spans="1:21" x14ac:dyDescent="0.3">
      <c r="A1164" s="4">
        <v>61302</v>
      </c>
      <c r="B1164" s="13">
        <f t="shared" si="33"/>
        <v>36.455129900000003</v>
      </c>
      <c r="C1164" s="12">
        <v>117.67984600737685</v>
      </c>
      <c r="D1164" s="5">
        <f t="shared" si="34"/>
        <v>11</v>
      </c>
      <c r="Q1164" s="4">
        <v>61302</v>
      </c>
      <c r="R1164" s="7">
        <v>255.05048271380636</v>
      </c>
      <c r="S1164" s="7">
        <v>245.33555231352437</v>
      </c>
      <c r="T1164" s="8">
        <v>0.71281615989412228</v>
      </c>
      <c r="U1164" s="7">
        <v>242.9729443422427</v>
      </c>
    </row>
    <row r="1165" spans="1:21" x14ac:dyDescent="0.3">
      <c r="A1165" s="4">
        <v>61332</v>
      </c>
      <c r="B1165" s="13">
        <f t="shared" si="33"/>
        <v>47.932856700000002</v>
      </c>
      <c r="C1165" s="12">
        <v>23.288657297962342</v>
      </c>
      <c r="D1165" s="5">
        <f t="shared" si="34"/>
        <v>12</v>
      </c>
      <c r="Q1165" s="4">
        <v>61332</v>
      </c>
      <c r="R1165" s="7">
        <v>49.132892319993303</v>
      </c>
      <c r="S1165" s="7">
        <v>63.946458495844062</v>
      </c>
      <c r="T1165" s="8">
        <v>8.7642220887528544E-3</v>
      </c>
      <c r="U1165" s="7">
        <v>64.295786041806821</v>
      </c>
    </row>
    <row r="1166" spans="1:21" x14ac:dyDescent="0.3">
      <c r="A1166" s="4">
        <v>61363</v>
      </c>
      <c r="B1166" s="13">
        <f t="shared" si="33"/>
        <v>275.9363204</v>
      </c>
      <c r="C1166" s="12">
        <v>256.68989906553173</v>
      </c>
      <c r="D1166" s="5">
        <f t="shared" si="34"/>
        <v>1</v>
      </c>
      <c r="Q1166" s="4">
        <v>61363</v>
      </c>
      <c r="R1166" s="7">
        <v>352.95567329437432</v>
      </c>
      <c r="S1166" s="7">
        <v>433.6442638676283</v>
      </c>
      <c r="T1166" s="8">
        <v>0.98102575600557662</v>
      </c>
      <c r="U1166" s="7">
        <v>423.1456033680065</v>
      </c>
    </row>
    <row r="1167" spans="1:21" x14ac:dyDescent="0.3">
      <c r="A1167" s="4">
        <v>61394</v>
      </c>
      <c r="B1167" s="13">
        <f t="shared" si="33"/>
        <v>94.439412599999997</v>
      </c>
      <c r="C1167" s="12">
        <v>51.258355012396436</v>
      </c>
      <c r="D1167" s="5">
        <f t="shared" si="34"/>
        <v>2</v>
      </c>
      <c r="Q1167" s="4">
        <v>61394</v>
      </c>
      <c r="R1167" s="7">
        <v>100.17010950654337</v>
      </c>
      <c r="S1167" s="7">
        <v>119.43997167692446</v>
      </c>
      <c r="T1167" s="8">
        <v>0.1913387911572022</v>
      </c>
      <c r="U1167" s="7">
        <v>119.8145848077982</v>
      </c>
    </row>
    <row r="1168" spans="1:21" x14ac:dyDescent="0.3">
      <c r="A1168" s="4">
        <v>61423</v>
      </c>
      <c r="B1168" s="13">
        <f t="shared" si="33"/>
        <v>100.87269499999999</v>
      </c>
      <c r="C1168" s="12">
        <v>119.23449081368756</v>
      </c>
      <c r="D1168" s="5">
        <f t="shared" si="34"/>
        <v>3</v>
      </c>
      <c r="Q1168" s="4">
        <v>61423</v>
      </c>
      <c r="R1168" s="7">
        <v>254.08057151782276</v>
      </c>
      <c r="S1168" s="7">
        <v>246.35269479649187</v>
      </c>
      <c r="T1168" s="8">
        <v>0.89716768363991162</v>
      </c>
      <c r="U1168" s="7">
        <v>246.45750360091557</v>
      </c>
    </row>
    <row r="1169" spans="1:21" x14ac:dyDescent="0.3">
      <c r="A1169" s="4">
        <v>61454</v>
      </c>
      <c r="B1169" s="13">
        <f t="shared" si="33"/>
        <v>126.56211570000001</v>
      </c>
      <c r="C1169" s="12">
        <v>18.097088963259022</v>
      </c>
      <c r="D1169" s="5">
        <f t="shared" si="34"/>
        <v>4</v>
      </c>
      <c r="Q1169" s="4">
        <v>61454</v>
      </c>
      <c r="R1169" s="7">
        <v>34.080650703037136</v>
      </c>
      <c r="S1169" s="7">
        <v>27.857135127425913</v>
      </c>
      <c r="T1169" s="8">
        <v>9.2826304637122336E-3</v>
      </c>
      <c r="U1169" s="7">
        <v>26.983212123503588</v>
      </c>
    </row>
    <row r="1170" spans="1:21" x14ac:dyDescent="0.3">
      <c r="A1170" s="4">
        <v>61484</v>
      </c>
      <c r="B1170" s="13">
        <f t="shared" si="33"/>
        <v>219.97909089999999</v>
      </c>
      <c r="C1170" s="12">
        <v>28.381246697972429</v>
      </c>
      <c r="D1170" s="5">
        <f t="shared" si="34"/>
        <v>5</v>
      </c>
      <c r="Q1170" s="4">
        <v>61484</v>
      </c>
      <c r="R1170" s="7">
        <v>48.225355196200496</v>
      </c>
      <c r="S1170" s="7">
        <v>55.981322547414429</v>
      </c>
      <c r="T1170" s="8">
        <v>0.20962538788902033</v>
      </c>
      <c r="U1170" s="7">
        <v>55.496371120862335</v>
      </c>
    </row>
    <row r="1171" spans="1:21" x14ac:dyDescent="0.3">
      <c r="A1171" s="4">
        <v>61515</v>
      </c>
      <c r="B1171" s="13">
        <f t="shared" si="33"/>
        <v>221.57449120000001</v>
      </c>
      <c r="C1171" s="12">
        <v>0.21663224583790006</v>
      </c>
      <c r="D1171" s="5">
        <f t="shared" si="34"/>
        <v>6</v>
      </c>
      <c r="Q1171" s="4">
        <v>61515</v>
      </c>
      <c r="R1171" s="7">
        <v>0.21948658292365145</v>
      </c>
      <c r="S1171" s="7">
        <v>1.6270815118239683</v>
      </c>
      <c r="T1171" s="8">
        <v>4.1495424315431989E-2</v>
      </c>
      <c r="U1171" s="7">
        <v>3.8037366412859934</v>
      </c>
    </row>
    <row r="1172" spans="1:21" x14ac:dyDescent="0.3">
      <c r="A1172" s="4">
        <v>61545</v>
      </c>
      <c r="B1172" s="13">
        <f t="shared" si="33"/>
        <v>57.167225799999997</v>
      </c>
      <c r="C1172" s="12">
        <v>1.9528226363973997E-3</v>
      </c>
      <c r="D1172" s="5">
        <f t="shared" si="34"/>
        <v>7</v>
      </c>
      <c r="Q1172" s="4">
        <v>61545</v>
      </c>
      <c r="R1172" s="7">
        <v>7.0666536201674885E-3</v>
      </c>
      <c r="S1172" s="7">
        <v>7.596585495087671E-2</v>
      </c>
      <c r="T1172" s="8">
        <v>4.0729119303612909E-3</v>
      </c>
      <c r="U1172" s="7">
        <v>0.347848924003963</v>
      </c>
    </row>
    <row r="1173" spans="1:21" x14ac:dyDescent="0.3">
      <c r="A1173" s="4">
        <v>61576</v>
      </c>
      <c r="B1173" s="13">
        <f t="shared" si="33"/>
        <v>52.720329100000001</v>
      </c>
      <c r="C1173" s="12">
        <v>1.0128111304766194</v>
      </c>
      <c r="D1173" s="5">
        <f t="shared" si="34"/>
        <v>8</v>
      </c>
      <c r="Q1173" s="4">
        <v>61576</v>
      </c>
      <c r="R1173" s="7">
        <v>5.5084986366405548</v>
      </c>
      <c r="S1173" s="7">
        <v>27.898083143347485</v>
      </c>
      <c r="T1173" s="8">
        <v>0.30157770424795727</v>
      </c>
      <c r="U1173" s="7">
        <v>17.486783276457054</v>
      </c>
    </row>
    <row r="1174" spans="1:21" x14ac:dyDescent="0.3">
      <c r="A1174" s="4">
        <v>61607</v>
      </c>
      <c r="B1174" s="13">
        <f t="shared" si="33"/>
        <v>18.868248399999999</v>
      </c>
      <c r="C1174" s="12">
        <v>6.5802487079054073</v>
      </c>
      <c r="D1174" s="5">
        <f t="shared" si="34"/>
        <v>9</v>
      </c>
      <c r="Q1174" s="4">
        <v>61607</v>
      </c>
      <c r="R1174" s="7">
        <v>22.049332670777748</v>
      </c>
      <c r="S1174" s="7">
        <v>37.446188851696533</v>
      </c>
      <c r="T1174" s="8">
        <v>0.38844452764821386</v>
      </c>
      <c r="U1174" s="7">
        <v>37.128668783446777</v>
      </c>
    </row>
    <row r="1175" spans="1:21" x14ac:dyDescent="0.3">
      <c r="A1175" s="4">
        <v>61637</v>
      </c>
      <c r="B1175" s="13">
        <f t="shared" si="33"/>
        <v>36.836727199999999</v>
      </c>
      <c r="C1175" s="12">
        <v>4.3233847145529629E-2</v>
      </c>
      <c r="D1175" s="5">
        <f t="shared" si="34"/>
        <v>10</v>
      </c>
      <c r="Q1175" s="4">
        <v>61637</v>
      </c>
      <c r="R1175" s="7">
        <v>0.10611392250984186</v>
      </c>
      <c r="S1175" s="7">
        <v>2.6707199073973764</v>
      </c>
      <c r="T1175" s="8">
        <v>1.4168142547971993E-4</v>
      </c>
      <c r="U1175" s="7">
        <v>8.1718696205653476</v>
      </c>
    </row>
    <row r="1176" spans="1:21" x14ac:dyDescent="0.3">
      <c r="A1176" s="4">
        <v>61668</v>
      </c>
      <c r="B1176" s="13">
        <f t="shared" si="33"/>
        <v>47.116242999999997</v>
      </c>
      <c r="C1176" s="12">
        <v>153.34501164034015</v>
      </c>
      <c r="D1176" s="5">
        <f t="shared" si="34"/>
        <v>11</v>
      </c>
      <c r="Q1176" s="4">
        <v>61668</v>
      </c>
      <c r="R1176" s="7">
        <v>332.34849099115343</v>
      </c>
      <c r="S1176" s="7">
        <v>287.58193381754933</v>
      </c>
      <c r="T1176" s="8">
        <v>0.85447124719265211</v>
      </c>
      <c r="U1176" s="7">
        <v>289.03940549861795</v>
      </c>
    </row>
    <row r="1177" spans="1:21" x14ac:dyDescent="0.3">
      <c r="A1177" s="4">
        <v>61698</v>
      </c>
      <c r="B1177" s="13">
        <f t="shared" si="33"/>
        <v>48.831038399999997</v>
      </c>
      <c r="C1177" s="12">
        <v>73.410394258098634</v>
      </c>
      <c r="D1177" s="5">
        <f t="shared" si="34"/>
        <v>12</v>
      </c>
      <c r="Q1177" s="4">
        <v>61698</v>
      </c>
      <c r="R1177" s="7">
        <v>154.87646840709019</v>
      </c>
      <c r="S1177" s="7">
        <v>167.93585544056427</v>
      </c>
      <c r="T1177" s="8">
        <v>0.26949252145546043</v>
      </c>
      <c r="U1177" s="7">
        <v>165.87604065133897</v>
      </c>
    </row>
    <row r="1178" spans="1:21" x14ac:dyDescent="0.3">
      <c r="A1178" s="4">
        <v>61729</v>
      </c>
      <c r="B1178" s="13">
        <f t="shared" si="33"/>
        <v>247.66047760000001</v>
      </c>
      <c r="C1178" s="12">
        <v>60.782228683820101</v>
      </c>
      <c r="D1178" s="5">
        <f t="shared" si="34"/>
        <v>1</v>
      </c>
      <c r="Q1178" s="4">
        <v>61729</v>
      </c>
      <c r="R1178" s="7">
        <v>83.577236687265952</v>
      </c>
      <c r="S1178" s="7">
        <v>64.870776299051911</v>
      </c>
      <c r="T1178" s="8">
        <v>0.12750539681216802</v>
      </c>
      <c r="U1178" s="7">
        <v>63.507281336716652</v>
      </c>
    </row>
    <row r="1179" spans="1:21" x14ac:dyDescent="0.3">
      <c r="A1179" s="4">
        <v>61760</v>
      </c>
      <c r="B1179" s="13">
        <f t="shared" si="33"/>
        <v>129.6517126</v>
      </c>
      <c r="C1179" s="12">
        <v>27.018959261477058</v>
      </c>
      <c r="D1179" s="5">
        <f t="shared" si="34"/>
        <v>2</v>
      </c>
      <c r="Q1179" s="4">
        <v>61760</v>
      </c>
      <c r="R1179" s="7">
        <v>52.800994244166574</v>
      </c>
      <c r="S1179" s="7">
        <v>72.738364997535911</v>
      </c>
      <c r="T1179" s="8">
        <v>4.3056507863542183E-2</v>
      </c>
      <c r="U1179" s="7">
        <v>75.334702288570142</v>
      </c>
    </row>
    <row r="1180" spans="1:21" x14ac:dyDescent="0.3">
      <c r="A1180" s="4">
        <v>61788</v>
      </c>
      <c r="B1180" s="13">
        <f t="shared" si="33"/>
        <v>153.43185199999999</v>
      </c>
      <c r="C1180" s="12">
        <v>62.814166402677024</v>
      </c>
      <c r="D1180" s="5">
        <f t="shared" si="34"/>
        <v>3</v>
      </c>
      <c r="Q1180" s="4">
        <v>61788</v>
      </c>
      <c r="R1180" s="7">
        <v>133.85270646180913</v>
      </c>
      <c r="S1180" s="7">
        <v>136.30871655118236</v>
      </c>
      <c r="T1180" s="8">
        <v>0.48176808876758298</v>
      </c>
      <c r="U1180" s="7">
        <v>135.93740685847666</v>
      </c>
    </row>
    <row r="1181" spans="1:21" x14ac:dyDescent="0.3">
      <c r="A1181" s="4">
        <v>61819</v>
      </c>
      <c r="B1181" s="13">
        <f t="shared" si="33"/>
        <v>74.361201199999996</v>
      </c>
      <c r="C1181" s="12">
        <v>96.81626537349068</v>
      </c>
      <c r="D1181" s="5">
        <f t="shared" si="34"/>
        <v>4</v>
      </c>
      <c r="Q1181" s="4">
        <v>61819</v>
      </c>
      <c r="R1181" s="7">
        <v>182.32552921993715</v>
      </c>
      <c r="S1181" s="7">
        <v>185.71112631781941</v>
      </c>
      <c r="T1181" s="8">
        <v>0.76888226032292695</v>
      </c>
      <c r="U1181" s="7">
        <v>186.20415772160845</v>
      </c>
    </row>
    <row r="1182" spans="1:21" x14ac:dyDescent="0.3">
      <c r="A1182" s="4">
        <v>61849</v>
      </c>
      <c r="B1182" s="13">
        <f t="shared" si="33"/>
        <v>246.11133939999999</v>
      </c>
      <c r="C1182" s="12">
        <v>41.846956999506908</v>
      </c>
      <c r="D1182" s="5">
        <f t="shared" si="34"/>
        <v>5</v>
      </c>
      <c r="Q1182" s="4">
        <v>61849</v>
      </c>
      <c r="R1182" s="7">
        <v>71.106262055976643</v>
      </c>
      <c r="S1182" s="7">
        <v>77.772524608156417</v>
      </c>
      <c r="T1182" s="8">
        <v>0.37102029844265078</v>
      </c>
      <c r="U1182" s="7">
        <v>76.787403679736556</v>
      </c>
    </row>
    <row r="1183" spans="1:21" x14ac:dyDescent="0.3">
      <c r="A1183" s="4">
        <v>61880</v>
      </c>
      <c r="B1183" s="13">
        <f t="shared" si="33"/>
        <v>138.568602</v>
      </c>
      <c r="C1183" s="12">
        <v>9.690720718936058</v>
      </c>
      <c r="D1183" s="5">
        <f t="shared" si="34"/>
        <v>6</v>
      </c>
      <c r="Q1183" s="4">
        <v>61880</v>
      </c>
      <c r="R1183" s="7">
        <v>9.8184052352864839</v>
      </c>
      <c r="S1183" s="7">
        <v>17.346709952863886</v>
      </c>
      <c r="T1183" s="8">
        <v>0.38706146210248876</v>
      </c>
      <c r="U1183" s="7">
        <v>19.219396462005321</v>
      </c>
    </row>
    <row r="1184" spans="1:21" x14ac:dyDescent="0.3">
      <c r="A1184" s="4">
        <v>61910</v>
      </c>
      <c r="B1184" s="13">
        <f t="shared" si="33"/>
        <v>280.42951640000001</v>
      </c>
      <c r="C1184" s="12">
        <v>1.6413603324494372E-3</v>
      </c>
      <c r="D1184" s="5">
        <f t="shared" si="34"/>
        <v>7</v>
      </c>
      <c r="Q1184" s="4">
        <v>61910</v>
      </c>
      <c r="R1184" s="7">
        <v>5.9395690725405669E-3</v>
      </c>
      <c r="S1184" s="7">
        <v>6.6981569488678352E-2</v>
      </c>
      <c r="T1184" s="8">
        <v>3.6385453074311365E-3</v>
      </c>
      <c r="U1184" s="7">
        <v>0.31917419244443568</v>
      </c>
    </row>
    <row r="1185" spans="1:21" x14ac:dyDescent="0.3">
      <c r="A1185" s="4">
        <v>61941</v>
      </c>
      <c r="B1185" s="13">
        <f t="shared" si="33"/>
        <v>87.0684057</v>
      </c>
      <c r="C1185" s="12">
        <v>10.148559162189498</v>
      </c>
      <c r="D1185" s="5">
        <f t="shared" si="34"/>
        <v>8</v>
      </c>
      <c r="Q1185" s="4">
        <v>61941</v>
      </c>
      <c r="R1185" s="7">
        <v>55.196198606624002</v>
      </c>
      <c r="S1185" s="7">
        <v>53.745132267481779</v>
      </c>
      <c r="T1185" s="8">
        <v>0.80591059268368237</v>
      </c>
      <c r="U1185" s="7">
        <v>49.989490137134538</v>
      </c>
    </row>
    <row r="1186" spans="1:21" x14ac:dyDescent="0.3">
      <c r="A1186" s="4">
        <v>61972</v>
      </c>
      <c r="B1186" s="13">
        <f t="shared" si="33"/>
        <v>25.3254023</v>
      </c>
      <c r="C1186" s="12">
        <v>1.3060526878744259E-6</v>
      </c>
      <c r="D1186" s="5">
        <f t="shared" si="34"/>
        <v>9</v>
      </c>
      <c r="Q1186" s="4">
        <v>61972</v>
      </c>
      <c r="R1186" s="7">
        <v>4.3763680491148761E-6</v>
      </c>
      <c r="S1186" s="7">
        <v>2.6551106298102166E-3</v>
      </c>
      <c r="T1186" s="8">
        <v>9.355675631983724E-6</v>
      </c>
      <c r="U1186" s="7">
        <v>4.0063514679015366E-2</v>
      </c>
    </row>
    <row r="1187" spans="1:21" x14ac:dyDescent="0.3">
      <c r="A1187" s="4">
        <v>62002</v>
      </c>
      <c r="B1187" s="13">
        <f t="shared" si="33"/>
        <v>4.5868741000000002</v>
      </c>
      <c r="C1187" s="12">
        <v>30.24867953499788</v>
      </c>
      <c r="D1187" s="5">
        <f t="shared" si="34"/>
        <v>10</v>
      </c>
      <c r="Q1187" s="4">
        <v>62002</v>
      </c>
      <c r="R1187" s="7">
        <v>74.242896437073099</v>
      </c>
      <c r="S1187" s="7">
        <v>116.10343110366657</v>
      </c>
      <c r="T1187" s="8">
        <v>0.31281724388090859</v>
      </c>
      <c r="U1187" s="7">
        <v>116.73342284391447</v>
      </c>
    </row>
    <row r="1188" spans="1:21" x14ac:dyDescent="0.3">
      <c r="A1188" s="4">
        <v>62033</v>
      </c>
      <c r="B1188" s="13">
        <f t="shared" si="33"/>
        <v>44.024081199999998</v>
      </c>
      <c r="C1188" s="12">
        <v>88.087708689272475</v>
      </c>
      <c r="D1188" s="5">
        <f t="shared" si="34"/>
        <v>11</v>
      </c>
      <c r="Q1188" s="4">
        <v>62033</v>
      </c>
      <c r="R1188" s="7">
        <v>190.91470106906624</v>
      </c>
      <c r="S1188" s="7">
        <v>206.18919799848044</v>
      </c>
      <c r="T1188" s="8">
        <v>0.52794866221672154</v>
      </c>
      <c r="U1188" s="7">
        <v>202.22855269220409</v>
      </c>
    </row>
    <row r="1189" spans="1:21" x14ac:dyDescent="0.3">
      <c r="A1189" s="4">
        <v>62063</v>
      </c>
      <c r="B1189" s="13">
        <f t="shared" si="33"/>
        <v>185.5295696</v>
      </c>
      <c r="C1189" s="12">
        <v>129.53906238544735</v>
      </c>
      <c r="D1189" s="5">
        <f t="shared" si="34"/>
        <v>12</v>
      </c>
      <c r="Q1189" s="4">
        <v>62063</v>
      </c>
      <c r="R1189" s="7">
        <v>273.29307662464328</v>
      </c>
      <c r="S1189" s="7">
        <v>270.7491159617764</v>
      </c>
      <c r="T1189" s="8">
        <v>0.694268954502681</v>
      </c>
      <c r="U1189" s="7">
        <v>269.76708130784522</v>
      </c>
    </row>
    <row r="1190" spans="1:21" x14ac:dyDescent="0.3">
      <c r="A1190" s="4">
        <v>62094</v>
      </c>
      <c r="B1190" s="13">
        <f t="shared" si="33"/>
        <v>321.62831490000002</v>
      </c>
      <c r="C1190" s="12">
        <v>103.68768693879245</v>
      </c>
      <c r="D1190" s="5">
        <f t="shared" si="34"/>
        <v>1</v>
      </c>
      <c r="Q1190" s="4">
        <v>62094</v>
      </c>
      <c r="R1190" s="7">
        <v>142.57342220729421</v>
      </c>
      <c r="S1190" s="7">
        <v>131.20361635923012</v>
      </c>
      <c r="T1190" s="8">
        <v>0.45135160123667861</v>
      </c>
      <c r="U1190" s="7">
        <v>132.61109907205099</v>
      </c>
    </row>
    <row r="1191" spans="1:21" x14ac:dyDescent="0.3">
      <c r="A1191" s="4">
        <v>62125</v>
      </c>
      <c r="B1191" s="13">
        <f t="shared" si="33"/>
        <v>165.91360760000001</v>
      </c>
      <c r="C1191" s="12">
        <v>10.197095194598669</v>
      </c>
      <c r="D1191" s="5">
        <f t="shared" si="34"/>
        <v>2</v>
      </c>
      <c r="Q1191" s="4">
        <v>62125</v>
      </c>
      <c r="R1191" s="7">
        <v>19.927368758606622</v>
      </c>
      <c r="S1191" s="7">
        <v>34.19794835250984</v>
      </c>
      <c r="T1191" s="8">
        <v>2.8528214431906298E-3</v>
      </c>
      <c r="U1191" s="7">
        <v>38.401521235008353</v>
      </c>
    </row>
    <row r="1192" spans="1:21" x14ac:dyDescent="0.3">
      <c r="A1192" s="4">
        <v>62153</v>
      </c>
      <c r="B1192" s="13">
        <f t="shared" si="33"/>
        <v>36.387569599999999</v>
      </c>
      <c r="C1192" s="12">
        <v>28.362433542497335</v>
      </c>
      <c r="D1192" s="5">
        <f t="shared" si="34"/>
        <v>3</v>
      </c>
      <c r="Q1192" s="4">
        <v>62153</v>
      </c>
      <c r="R1192" s="7">
        <v>60.438412366556065</v>
      </c>
      <c r="S1192" s="7">
        <v>65.410501294062342</v>
      </c>
      <c r="T1192" s="8">
        <v>9.0719165800627166E-2</v>
      </c>
      <c r="U1192" s="7">
        <v>65.820986293932748</v>
      </c>
    </row>
    <row r="1193" spans="1:21" x14ac:dyDescent="0.3">
      <c r="A1193" s="4">
        <v>62184</v>
      </c>
      <c r="B1193" s="13">
        <f t="shared" si="33"/>
        <v>32.725071300000003</v>
      </c>
      <c r="C1193" s="12">
        <v>12.463063481845902</v>
      </c>
      <c r="D1193" s="5">
        <f t="shared" si="34"/>
        <v>4</v>
      </c>
      <c r="Q1193" s="4">
        <v>62184</v>
      </c>
      <c r="R1193" s="7">
        <v>23.470587677217054</v>
      </c>
      <c r="S1193" s="7">
        <v>18.268354117943112</v>
      </c>
      <c r="T1193" s="8">
        <v>2.0766993279302025E-3</v>
      </c>
      <c r="U1193" s="7">
        <v>17.283332398421237</v>
      </c>
    </row>
    <row r="1194" spans="1:21" x14ac:dyDescent="0.3">
      <c r="A1194" s="4">
        <v>62214</v>
      </c>
      <c r="B1194" s="13">
        <f t="shared" si="33"/>
        <v>184.34088729999999</v>
      </c>
      <c r="C1194" s="12">
        <v>70.241267915116609</v>
      </c>
      <c r="D1194" s="5">
        <f t="shared" si="34"/>
        <v>5</v>
      </c>
      <c r="Q1194" s="4">
        <v>62214</v>
      </c>
      <c r="R1194" s="7">
        <v>119.35381594353916</v>
      </c>
      <c r="S1194" s="7">
        <v>120.58013387387855</v>
      </c>
      <c r="T1194" s="8">
        <v>0.65776257952486783</v>
      </c>
      <c r="U1194" s="7">
        <v>119.45406068978859</v>
      </c>
    </row>
    <row r="1195" spans="1:21" x14ac:dyDescent="0.3">
      <c r="A1195" s="4">
        <v>62245</v>
      </c>
      <c r="B1195" s="13">
        <f t="shared" si="33"/>
        <v>103.199764</v>
      </c>
      <c r="C1195" s="12">
        <v>9.2114295966894008E-2</v>
      </c>
      <c r="D1195" s="5">
        <f t="shared" si="34"/>
        <v>6</v>
      </c>
      <c r="Q1195" s="4">
        <v>62245</v>
      </c>
      <c r="R1195" s="7">
        <v>9.3327989939779865E-2</v>
      </c>
      <c r="S1195" s="7">
        <v>0.95532311021113037</v>
      </c>
      <c r="T1195" s="8">
        <v>2.4735723271989599E-2</v>
      </c>
      <c r="U1195" s="7">
        <v>2.7399481722159007</v>
      </c>
    </row>
    <row r="1196" spans="1:21" x14ac:dyDescent="0.3">
      <c r="A1196" s="4">
        <v>62275</v>
      </c>
      <c r="B1196" s="13">
        <f t="shared" si="33"/>
        <v>72.381086999999994</v>
      </c>
      <c r="C1196" s="12">
        <v>0.20662569061187239</v>
      </c>
      <c r="D1196" s="5">
        <f t="shared" si="34"/>
        <v>7</v>
      </c>
      <c r="Q1196" s="4">
        <v>62275</v>
      </c>
      <c r="R1196" s="7">
        <v>0.74771367218259455</v>
      </c>
      <c r="S1196" s="7">
        <v>2.2243380175373137</v>
      </c>
      <c r="T1196" s="8">
        <v>8.3350196271435195E-2</v>
      </c>
      <c r="U1196" s="7">
        <v>3.6770490076076463</v>
      </c>
    </row>
    <row r="1197" spans="1:21" x14ac:dyDescent="0.3">
      <c r="A1197" s="4">
        <v>62306</v>
      </c>
      <c r="B1197" s="13">
        <f t="shared" si="33"/>
        <v>77.566617100000002</v>
      </c>
      <c r="C1197" s="12">
        <v>2.3985259871551539</v>
      </c>
      <c r="D1197" s="5">
        <f t="shared" si="34"/>
        <v>8</v>
      </c>
      <c r="Q1197" s="4">
        <v>62306</v>
      </c>
      <c r="R1197" s="7">
        <v>13.045153960712824</v>
      </c>
      <c r="S1197" s="7">
        <v>35.653447558507921</v>
      </c>
      <c r="T1197" s="8">
        <v>0.45879055171924754</v>
      </c>
      <c r="U1197" s="7">
        <v>24.948244962383807</v>
      </c>
    </row>
    <row r="1198" spans="1:21" x14ac:dyDescent="0.3">
      <c r="A1198" s="4">
        <v>62337</v>
      </c>
      <c r="B1198" s="13">
        <f t="shared" si="33"/>
        <v>59.071693099999997</v>
      </c>
      <c r="C1198" s="12">
        <v>1.8805922154570009</v>
      </c>
      <c r="D1198" s="5">
        <f t="shared" si="34"/>
        <v>9</v>
      </c>
      <c r="Q1198" s="4">
        <v>62337</v>
      </c>
      <c r="R1198" s="7">
        <v>6.3015556428543489</v>
      </c>
      <c r="S1198" s="7">
        <v>17.244646181155737</v>
      </c>
      <c r="T1198" s="8">
        <v>0.17486031123183113</v>
      </c>
      <c r="U1198" s="7">
        <v>19.239874568954765</v>
      </c>
    </row>
    <row r="1199" spans="1:21" x14ac:dyDescent="0.3">
      <c r="A1199" s="4">
        <v>62367</v>
      </c>
      <c r="B1199" s="13">
        <f t="shared" si="33"/>
        <v>24.494136900000001</v>
      </c>
      <c r="C1199" s="12">
        <v>68.923591874772697</v>
      </c>
      <c r="D1199" s="5">
        <f t="shared" si="34"/>
        <v>10</v>
      </c>
      <c r="Q1199" s="4">
        <v>62367</v>
      </c>
      <c r="R1199" s="7">
        <v>169.1672883673929</v>
      </c>
      <c r="S1199" s="7">
        <v>186.5534562030297</v>
      </c>
      <c r="T1199" s="8">
        <v>0.61573690286725935</v>
      </c>
      <c r="U1199" s="7">
        <v>181.76847428366051</v>
      </c>
    </row>
    <row r="1200" spans="1:21" x14ac:dyDescent="0.3">
      <c r="A1200" s="4">
        <v>62398</v>
      </c>
      <c r="B1200" s="13">
        <f t="shared" si="33"/>
        <v>94.513683099999994</v>
      </c>
      <c r="C1200" s="12">
        <v>112.43265622761105</v>
      </c>
      <c r="D1200" s="5">
        <f t="shared" si="34"/>
        <v>11</v>
      </c>
      <c r="Q1200" s="4">
        <v>62398</v>
      </c>
      <c r="R1200" s="7">
        <v>243.67811665771612</v>
      </c>
      <c r="S1200" s="7">
        <v>238.71030639137476</v>
      </c>
      <c r="T1200" s="8">
        <v>0.68473972747029443</v>
      </c>
      <c r="U1200" s="7">
        <v>235.94714264433293</v>
      </c>
    </row>
    <row r="1201" spans="1:21" x14ac:dyDescent="0.3">
      <c r="A1201" s="4">
        <v>62428</v>
      </c>
      <c r="B1201" s="13">
        <f t="shared" si="33"/>
        <v>30.669225600000001</v>
      </c>
      <c r="C1201" s="12">
        <v>98.29309803899379</v>
      </c>
      <c r="D1201" s="5">
        <f t="shared" si="34"/>
        <v>12</v>
      </c>
      <c r="Q1201" s="4">
        <v>62428</v>
      </c>
      <c r="R1201" s="7">
        <v>207.37237617262636</v>
      </c>
      <c r="S1201" s="7">
        <v>214.6601794463493</v>
      </c>
      <c r="T1201" s="8">
        <v>0.47468886127819193</v>
      </c>
      <c r="U1201" s="7">
        <v>212.64517744086035</v>
      </c>
    </row>
    <row r="1202" spans="1:21" x14ac:dyDescent="0.3">
      <c r="A1202" s="4">
        <v>62459</v>
      </c>
      <c r="B1202" s="13">
        <f t="shared" si="33"/>
        <v>154.65396000000001</v>
      </c>
      <c r="C1202" s="12">
        <v>148.91283673932767</v>
      </c>
      <c r="D1202" s="5">
        <f t="shared" si="34"/>
        <v>1</v>
      </c>
      <c r="Q1202" s="4">
        <v>62459</v>
      </c>
      <c r="R1202" s="7">
        <v>204.75924742206709</v>
      </c>
      <c r="S1202" s="7">
        <v>211.47931758435243</v>
      </c>
      <c r="T1202" s="8">
        <v>0.74947991601729202</v>
      </c>
      <c r="U1202" s="7">
        <v>213.51773083034024</v>
      </c>
    </row>
    <row r="1203" spans="1:21" x14ac:dyDescent="0.3">
      <c r="A1203" s="4">
        <v>62490</v>
      </c>
      <c r="B1203" s="13">
        <f t="shared" si="33"/>
        <v>158.86136239999999</v>
      </c>
      <c r="C1203" s="12">
        <v>70.438072853721565</v>
      </c>
      <c r="D1203" s="5">
        <f t="shared" si="34"/>
        <v>2</v>
      </c>
      <c r="Q1203" s="4">
        <v>62490</v>
      </c>
      <c r="R1203" s="7">
        <v>137.65150031601252</v>
      </c>
      <c r="S1203" s="7">
        <v>152.77919660445681</v>
      </c>
      <c r="T1203" s="8">
        <v>0.34719669866892355</v>
      </c>
      <c r="U1203" s="7">
        <v>151.98137548939752</v>
      </c>
    </row>
    <row r="1204" spans="1:21" x14ac:dyDescent="0.3">
      <c r="A1204" s="4">
        <v>62518</v>
      </c>
      <c r="B1204" s="13">
        <f t="shared" si="33"/>
        <v>167.54897070000001</v>
      </c>
      <c r="C1204" s="12">
        <v>61.178954114438966</v>
      </c>
      <c r="D1204" s="5">
        <f t="shared" si="34"/>
        <v>3</v>
      </c>
      <c r="Q1204" s="4">
        <v>62518</v>
      </c>
      <c r="R1204" s="7">
        <v>130.36818055061366</v>
      </c>
      <c r="S1204" s="7">
        <v>133.02863560190369</v>
      </c>
      <c r="T1204" s="8">
        <v>0.46261956414510347</v>
      </c>
      <c r="U1204" s="7">
        <v>132.67604639298906</v>
      </c>
    </row>
    <row r="1205" spans="1:21" x14ac:dyDescent="0.3">
      <c r="A1205" s="4">
        <v>62549</v>
      </c>
      <c r="B1205" s="13">
        <f t="shared" si="33"/>
        <v>98.888573500000007</v>
      </c>
      <c r="C1205" s="12">
        <v>102.96157188713551</v>
      </c>
      <c r="D1205" s="5">
        <f t="shared" si="34"/>
        <v>4</v>
      </c>
      <c r="Q1205" s="4">
        <v>62549</v>
      </c>
      <c r="R1205" s="7">
        <v>193.89844269678574</v>
      </c>
      <c r="S1205" s="7">
        <v>199.10009147825079</v>
      </c>
      <c r="T1205" s="8">
        <v>0.81135456439034215</v>
      </c>
      <c r="U1205" s="7">
        <v>199.39802629829313</v>
      </c>
    </row>
    <row r="1206" spans="1:21" x14ac:dyDescent="0.3">
      <c r="A1206" s="4">
        <v>62579</v>
      </c>
      <c r="B1206" s="13">
        <f t="shared" si="33"/>
        <v>216.11872360000001</v>
      </c>
      <c r="C1206" s="12">
        <v>1.0774381897135765</v>
      </c>
      <c r="D1206" s="5">
        <f t="shared" si="34"/>
        <v>5</v>
      </c>
      <c r="Q1206" s="4">
        <v>62579</v>
      </c>
      <c r="R1206" s="7">
        <v>1.8307807248157468</v>
      </c>
      <c r="S1206" s="7">
        <v>3.5089030118499931</v>
      </c>
      <c r="T1206" s="8">
        <v>2.5490433410814244E-4</v>
      </c>
      <c r="U1206" s="7">
        <v>4.1979434841701622</v>
      </c>
    </row>
    <row r="1207" spans="1:21" x14ac:dyDescent="0.3">
      <c r="A1207" s="4">
        <v>62610</v>
      </c>
      <c r="B1207" s="13">
        <f t="shared" si="33"/>
        <v>115.6374318</v>
      </c>
      <c r="C1207" s="12">
        <v>1.4821343338553554</v>
      </c>
      <c r="D1207" s="5">
        <f t="shared" si="34"/>
        <v>6</v>
      </c>
      <c r="Q1207" s="4">
        <v>62610</v>
      </c>
      <c r="R1207" s="7">
        <v>1.5016628716260174</v>
      </c>
      <c r="S1207" s="7">
        <v>5.3882197922786874</v>
      </c>
      <c r="T1207" s="8">
        <v>0.13182215228505778</v>
      </c>
      <c r="U1207" s="7">
        <v>8.2420182036794092</v>
      </c>
    </row>
    <row r="1208" spans="1:21" x14ac:dyDescent="0.3">
      <c r="A1208" s="4">
        <v>62640</v>
      </c>
      <c r="B1208" s="13">
        <f t="shared" si="33"/>
        <v>135.638418</v>
      </c>
      <c r="C1208" s="12">
        <v>0.15272357484263907</v>
      </c>
      <c r="D1208" s="5">
        <f t="shared" si="34"/>
        <v>7</v>
      </c>
      <c r="Q1208" s="4">
        <v>62640</v>
      </c>
      <c r="R1208" s="7">
        <v>0.5526587939587102</v>
      </c>
      <c r="S1208" s="7">
        <v>1.786905558987971</v>
      </c>
      <c r="T1208" s="8">
        <v>6.8631284270968609E-2</v>
      </c>
      <c r="U1208" s="7">
        <v>3.1374079699962523</v>
      </c>
    </row>
    <row r="1209" spans="1:21" x14ac:dyDescent="0.3">
      <c r="A1209" s="4">
        <v>62671</v>
      </c>
      <c r="B1209" s="13">
        <f t="shared" si="33"/>
        <v>70.1243257</v>
      </c>
      <c r="C1209" s="12">
        <v>0</v>
      </c>
      <c r="D1209" s="5">
        <f t="shared" si="34"/>
        <v>8</v>
      </c>
      <c r="Q1209" s="4">
        <v>62671</v>
      </c>
      <c r="R1209" s="7">
        <v>0</v>
      </c>
      <c r="S1209" s="7">
        <v>0</v>
      </c>
      <c r="T1209" s="8">
        <v>0</v>
      </c>
      <c r="U1209" s="7">
        <v>0</v>
      </c>
    </row>
    <row r="1210" spans="1:21" x14ac:dyDescent="0.3">
      <c r="A1210" s="4">
        <v>62702</v>
      </c>
      <c r="B1210" s="13">
        <f t="shared" si="33"/>
        <v>34.284922799999997</v>
      </c>
      <c r="C1210" s="12">
        <v>1.9945864096371224E-2</v>
      </c>
      <c r="D1210" s="5">
        <f t="shared" si="34"/>
        <v>9</v>
      </c>
      <c r="Q1210" s="4">
        <v>62702</v>
      </c>
      <c r="R1210" s="7">
        <v>6.6835314649832389E-2</v>
      </c>
      <c r="S1210" s="7">
        <v>1.0334615778597722</v>
      </c>
      <c r="T1210" s="8">
        <v>7.6193443570945337E-3</v>
      </c>
      <c r="U1210" s="7">
        <v>2.4139671196502115</v>
      </c>
    </row>
    <row r="1211" spans="1:21" x14ac:dyDescent="0.3">
      <c r="A1211" s="4">
        <v>62732</v>
      </c>
      <c r="B1211" s="13">
        <f t="shared" si="33"/>
        <v>47.185914199999999</v>
      </c>
      <c r="C1211" s="12">
        <v>56.021703779697354</v>
      </c>
      <c r="D1211" s="5">
        <f t="shared" si="34"/>
        <v>10</v>
      </c>
      <c r="Q1211" s="4">
        <v>62732</v>
      </c>
      <c r="R1211" s="7">
        <v>137.50066501687206</v>
      </c>
      <c r="S1211" s="7">
        <v>165.56571436804711</v>
      </c>
      <c r="T1211" s="8">
        <v>0.53121332499141982</v>
      </c>
      <c r="U1211" s="7">
        <v>161.85412835593309</v>
      </c>
    </row>
    <row r="1212" spans="1:21" x14ac:dyDescent="0.3">
      <c r="A1212" s="4">
        <v>62763</v>
      </c>
      <c r="B1212" s="13">
        <f t="shared" si="33"/>
        <v>24.617494700000002</v>
      </c>
      <c r="C1212" s="12">
        <v>75.665896350983658</v>
      </c>
      <c r="D1212" s="5">
        <f t="shared" si="34"/>
        <v>11</v>
      </c>
      <c r="Q1212" s="4">
        <v>62763</v>
      </c>
      <c r="R1212" s="7">
        <v>163.99259553824936</v>
      </c>
      <c r="S1212" s="7">
        <v>188.21100581623958</v>
      </c>
      <c r="T1212" s="8">
        <v>0.43265709902192612</v>
      </c>
      <c r="U1212" s="7">
        <v>184.12703610217986</v>
      </c>
    </row>
    <row r="1213" spans="1:21" x14ac:dyDescent="0.3">
      <c r="A1213" s="4">
        <v>62793</v>
      </c>
      <c r="B1213" s="13">
        <f t="shared" si="33"/>
        <v>22.664901700000001</v>
      </c>
      <c r="C1213" s="12">
        <v>17.504235602973509</v>
      </c>
      <c r="D1213" s="5">
        <f t="shared" si="34"/>
        <v>12</v>
      </c>
      <c r="Q1213" s="4">
        <v>62793</v>
      </c>
      <c r="R1213" s="7">
        <v>36.929296181447945</v>
      </c>
      <c r="S1213" s="7">
        <v>50.295956007959703</v>
      </c>
      <c r="T1213" s="8">
        <v>3.0977686216621053E-3</v>
      </c>
      <c r="U1213" s="7">
        <v>51.115649517060767</v>
      </c>
    </row>
    <row r="1214" spans="1:21" x14ac:dyDescent="0.3">
      <c r="A1214" s="4">
        <v>62824</v>
      </c>
      <c r="B1214" s="13">
        <f t="shared" si="33"/>
        <v>175.37051400000001</v>
      </c>
      <c r="C1214" s="12">
        <v>214.43875276017937</v>
      </c>
      <c r="D1214" s="5">
        <f t="shared" si="34"/>
        <v>1</v>
      </c>
      <c r="Q1214" s="4">
        <v>62824</v>
      </c>
      <c r="R1214" s="7">
        <v>294.85918470657214</v>
      </c>
      <c r="S1214" s="7">
        <v>342.08021900098021</v>
      </c>
      <c r="T1214" s="8">
        <v>0.94308509681220598</v>
      </c>
      <c r="U1214" s="7">
        <v>338.96398198500003</v>
      </c>
    </row>
    <row r="1215" spans="1:21" x14ac:dyDescent="0.3">
      <c r="A1215" s="4">
        <v>62855</v>
      </c>
      <c r="B1215" s="13">
        <f t="shared" si="33"/>
        <v>162.70918889999999</v>
      </c>
      <c r="C1215" s="12">
        <v>27.26653959543922</v>
      </c>
      <c r="D1215" s="5">
        <f t="shared" si="34"/>
        <v>2</v>
      </c>
      <c r="Q1215" s="4">
        <v>62855</v>
      </c>
      <c r="R1215" s="7">
        <v>53.284820718087921</v>
      </c>
      <c r="S1215" s="7">
        <v>73.254052714086896</v>
      </c>
      <c r="T1215" s="8">
        <v>4.4073874929532353E-2</v>
      </c>
      <c r="U1215" s="7">
        <v>75.82440621469982</v>
      </c>
    </row>
    <row r="1216" spans="1:21" x14ac:dyDescent="0.3">
      <c r="A1216" s="4">
        <v>62884</v>
      </c>
      <c r="B1216" s="13">
        <f t="shared" ref="B1216:B1279" si="35">B835</f>
        <v>347.3191324</v>
      </c>
      <c r="C1216" s="12">
        <v>53.587886074092303</v>
      </c>
      <c r="D1216" s="5">
        <f t="shared" si="34"/>
        <v>3</v>
      </c>
      <c r="Q1216" s="4">
        <v>62884</v>
      </c>
      <c r="R1216" s="7">
        <v>114.19213205189732</v>
      </c>
      <c r="S1216" s="7">
        <v>117.710375267503</v>
      </c>
      <c r="T1216" s="8">
        <v>0.37091766572870244</v>
      </c>
      <c r="U1216" s="7">
        <v>117.4699881271565</v>
      </c>
    </row>
    <row r="1217" spans="1:21" x14ac:dyDescent="0.3">
      <c r="A1217" s="4">
        <v>62915</v>
      </c>
      <c r="B1217" s="13">
        <f t="shared" si="35"/>
        <v>106.89417779999999</v>
      </c>
      <c r="C1217" s="12">
        <v>71.824986662249927</v>
      </c>
      <c r="D1217" s="5">
        <f t="shared" si="34"/>
        <v>4</v>
      </c>
      <c r="Q1217" s="4">
        <v>62915</v>
      </c>
      <c r="R1217" s="7">
        <v>135.26165932852993</v>
      </c>
      <c r="S1217" s="7">
        <v>132.48033674582763</v>
      </c>
      <c r="T1217" s="8">
        <v>0.52434844503381095</v>
      </c>
      <c r="U1217" s="7">
        <v>133.25136955024098</v>
      </c>
    </row>
    <row r="1218" spans="1:21" x14ac:dyDescent="0.3">
      <c r="A1218" s="4">
        <v>62945</v>
      </c>
      <c r="B1218" s="13">
        <f t="shared" si="35"/>
        <v>62.369472000000002</v>
      </c>
      <c r="C1218" s="12">
        <v>3.6787328379432549</v>
      </c>
      <c r="D1218" s="5">
        <f t="shared" si="34"/>
        <v>5</v>
      </c>
      <c r="Q1218" s="4">
        <v>62945</v>
      </c>
      <c r="R1218" s="7">
        <v>6.25089516572978</v>
      </c>
      <c r="S1218" s="7">
        <v>9.9249359044659951</v>
      </c>
      <c r="T1218" s="8">
        <v>3.7982935841724343E-3</v>
      </c>
      <c r="U1218" s="7">
        <v>10.808726266970742</v>
      </c>
    </row>
    <row r="1219" spans="1:21" x14ac:dyDescent="0.3">
      <c r="A1219" s="4">
        <v>62976</v>
      </c>
      <c r="B1219" s="13">
        <f t="shared" si="35"/>
        <v>39.724762900000002</v>
      </c>
      <c r="C1219" s="12">
        <v>3.01615380351451E-2</v>
      </c>
      <c r="D1219" s="5">
        <f t="shared" ref="D1219:D1282" si="36">MONTH(A1219)</f>
        <v>6</v>
      </c>
      <c r="Q1219" s="4">
        <v>62976</v>
      </c>
      <c r="R1219" s="7">
        <v>3.0558945153573054E-2</v>
      </c>
      <c r="S1219" s="7">
        <v>0.4766851997400165</v>
      </c>
      <c r="T1219" s="8">
        <v>1.2579647567859148E-2</v>
      </c>
      <c r="U1219" s="7">
        <v>1.8007587734249297</v>
      </c>
    </row>
    <row r="1220" spans="1:21" x14ac:dyDescent="0.3">
      <c r="A1220" s="4">
        <v>63006</v>
      </c>
      <c r="B1220" s="13">
        <f t="shared" si="35"/>
        <v>96.907734899999994</v>
      </c>
      <c r="C1220" s="12">
        <v>6.9407931361638333</v>
      </c>
      <c r="D1220" s="5">
        <f t="shared" si="36"/>
        <v>7</v>
      </c>
      <c r="Q1220" s="4">
        <v>63006</v>
      </c>
      <c r="R1220" s="7">
        <v>25.116556940875451</v>
      </c>
      <c r="S1220" s="7">
        <v>28.366928649620242</v>
      </c>
      <c r="T1220" s="8">
        <v>0.65296986968140858</v>
      </c>
      <c r="U1220" s="7">
        <v>28.313016859217075</v>
      </c>
    </row>
    <row r="1221" spans="1:21" x14ac:dyDescent="0.3">
      <c r="A1221" s="4">
        <v>63037</v>
      </c>
      <c r="B1221" s="13">
        <f t="shared" si="35"/>
        <v>30.484929999999999</v>
      </c>
      <c r="C1221" s="12">
        <v>3.0614956662589024E-2</v>
      </c>
      <c r="D1221" s="5">
        <f t="shared" si="36"/>
        <v>8</v>
      </c>
      <c r="Q1221" s="4">
        <v>63037</v>
      </c>
      <c r="R1221" s="7">
        <v>0.16650927498922702</v>
      </c>
      <c r="S1221" s="7">
        <v>10.309224489423718</v>
      </c>
      <c r="T1221" s="8">
        <v>4.788067818238597E-2</v>
      </c>
      <c r="U1221" s="7">
        <v>5.2052801596812568</v>
      </c>
    </row>
    <row r="1222" spans="1:21" x14ac:dyDescent="0.3">
      <c r="A1222" s="4">
        <v>63068</v>
      </c>
      <c r="B1222" s="13">
        <f t="shared" si="35"/>
        <v>23.397945700000001</v>
      </c>
      <c r="C1222" s="12">
        <v>0</v>
      </c>
      <c r="D1222" s="5">
        <f t="shared" si="36"/>
        <v>9</v>
      </c>
      <c r="Q1222" s="4">
        <v>63068</v>
      </c>
      <c r="R1222" s="7">
        <v>0</v>
      </c>
      <c r="S1222" s="7">
        <v>0</v>
      </c>
      <c r="T1222" s="8">
        <v>0</v>
      </c>
      <c r="U1222" s="7">
        <v>0</v>
      </c>
    </row>
    <row r="1223" spans="1:21" x14ac:dyDescent="0.3">
      <c r="A1223" s="4">
        <v>63098</v>
      </c>
      <c r="B1223" s="13">
        <f t="shared" si="35"/>
        <v>8.1107171999999998</v>
      </c>
      <c r="C1223" s="12">
        <v>75.702339870622367</v>
      </c>
      <c r="D1223" s="5">
        <f t="shared" si="36"/>
        <v>10</v>
      </c>
      <c r="Q1223" s="4">
        <v>63098</v>
      </c>
      <c r="R1223" s="7">
        <v>185.80516787702879</v>
      </c>
      <c r="S1223" s="7">
        <v>196.90833858997476</v>
      </c>
      <c r="T1223" s="8">
        <v>0.65431181609262978</v>
      </c>
      <c r="U1223" s="7">
        <v>191.78181849629306</v>
      </c>
    </row>
    <row r="1224" spans="1:21" x14ac:dyDescent="0.3">
      <c r="A1224" s="4">
        <v>63129</v>
      </c>
      <c r="B1224" s="13">
        <f t="shared" si="35"/>
        <v>23.8790099</v>
      </c>
      <c r="C1224" s="12">
        <v>148.012474179268</v>
      </c>
      <c r="D1224" s="5">
        <f t="shared" si="36"/>
        <v>11</v>
      </c>
      <c r="Q1224" s="4">
        <v>63129</v>
      </c>
      <c r="R1224" s="7">
        <v>320.79114876408551</v>
      </c>
      <c r="S1224" s="7">
        <v>281.53736924907332</v>
      </c>
      <c r="T1224" s="8">
        <v>0.83818394909668414</v>
      </c>
      <c r="U1224" s="7">
        <v>282.31338857465823</v>
      </c>
    </row>
    <row r="1225" spans="1:21" x14ac:dyDescent="0.3">
      <c r="A1225" s="4">
        <v>63159</v>
      </c>
      <c r="B1225" s="13">
        <f t="shared" si="35"/>
        <v>96.903258100000002</v>
      </c>
      <c r="C1225" s="12">
        <v>90.656852116808338</v>
      </c>
      <c r="D1225" s="5">
        <f t="shared" si="36"/>
        <v>12</v>
      </c>
      <c r="Q1225" s="4">
        <v>63159</v>
      </c>
      <c r="R1225" s="7">
        <v>191.26192189338573</v>
      </c>
      <c r="S1225" s="7">
        <v>200.54601213281077</v>
      </c>
      <c r="T1225" s="8">
        <v>0.4124332193949814</v>
      </c>
      <c r="U1225" s="7">
        <v>198.43845452319238</v>
      </c>
    </row>
    <row r="1226" spans="1:21" x14ac:dyDescent="0.3">
      <c r="A1226" s="4">
        <v>63190</v>
      </c>
      <c r="B1226" s="13">
        <f t="shared" si="35"/>
        <v>58.801873700000002</v>
      </c>
      <c r="C1226" s="12">
        <v>37.019483765470802</v>
      </c>
      <c r="D1226" s="5">
        <f t="shared" si="36"/>
        <v>1</v>
      </c>
      <c r="Q1226" s="4">
        <v>63190</v>
      </c>
      <c r="R1226" s="7">
        <v>50.902808661419733</v>
      </c>
      <c r="S1226" s="7">
        <v>33.732626893870133</v>
      </c>
      <c r="T1226" s="8">
        <v>2.569962941246726E-2</v>
      </c>
      <c r="U1226" s="7">
        <v>30.941739788372214</v>
      </c>
    </row>
    <row r="1227" spans="1:21" x14ac:dyDescent="0.3">
      <c r="A1227" s="4">
        <v>63221</v>
      </c>
      <c r="B1227" s="13">
        <f t="shared" si="35"/>
        <v>203.47559129999999</v>
      </c>
      <c r="C1227" s="12">
        <v>65.213597822002967</v>
      </c>
      <c r="D1227" s="5">
        <f t="shared" si="36"/>
        <v>2</v>
      </c>
      <c r="Q1227" s="4">
        <v>63221</v>
      </c>
      <c r="R1227" s="7">
        <v>127.44172600868468</v>
      </c>
      <c r="S1227" s="7">
        <v>143.92696025079795</v>
      </c>
      <c r="T1227" s="8">
        <v>0.30376409378802816</v>
      </c>
      <c r="U1227" s="7">
        <v>143.39613307063729</v>
      </c>
    </row>
    <row r="1228" spans="1:21" x14ac:dyDescent="0.3">
      <c r="A1228" s="4">
        <v>63249</v>
      </c>
      <c r="B1228" s="13">
        <f t="shared" si="35"/>
        <v>231.0730748</v>
      </c>
      <c r="C1228" s="12">
        <v>54.509791592135905</v>
      </c>
      <c r="D1228" s="5">
        <f t="shared" si="36"/>
        <v>3</v>
      </c>
      <c r="Q1228" s="4">
        <v>63249</v>
      </c>
      <c r="R1228" s="7">
        <v>116.15664986307301</v>
      </c>
      <c r="S1228" s="7">
        <v>119.57915403714686</v>
      </c>
      <c r="T1228" s="8">
        <v>0.3822228933993298</v>
      </c>
      <c r="U1228" s="7">
        <v>119.32292452011002</v>
      </c>
    </row>
    <row r="1229" spans="1:21" x14ac:dyDescent="0.3">
      <c r="A1229" s="4">
        <v>63280</v>
      </c>
      <c r="B1229" s="13">
        <f t="shared" si="35"/>
        <v>250.06472930000001</v>
      </c>
      <c r="C1229" s="12">
        <v>41.816139360889792</v>
      </c>
      <c r="D1229" s="5">
        <f t="shared" si="36"/>
        <v>4</v>
      </c>
      <c r="Q1229" s="4">
        <v>63280</v>
      </c>
      <c r="R1229" s="7">
        <v>78.748645276669066</v>
      </c>
      <c r="S1229" s="7">
        <v>71.844839329505476</v>
      </c>
      <c r="T1229" s="8">
        <v>0.15746934999424908</v>
      </c>
      <c r="U1229" s="7">
        <v>71.919666118749433</v>
      </c>
    </row>
    <row r="1230" spans="1:21" x14ac:dyDescent="0.3">
      <c r="A1230" s="4">
        <v>63310</v>
      </c>
      <c r="B1230" s="13">
        <f t="shared" si="35"/>
        <v>177.1992899</v>
      </c>
      <c r="C1230" s="12">
        <v>17.521578638115905</v>
      </c>
      <c r="D1230" s="5">
        <f t="shared" si="36"/>
        <v>5</v>
      </c>
      <c r="Q1230" s="4">
        <v>63310</v>
      </c>
      <c r="R1230" s="7">
        <v>29.772629878223938</v>
      </c>
      <c r="S1230" s="7">
        <v>37.212805151786171</v>
      </c>
      <c r="T1230" s="8">
        <v>9.1257493374376941E-2</v>
      </c>
      <c r="U1230" s="7">
        <v>37.341655706465502</v>
      </c>
    </row>
    <row r="1231" spans="1:21" x14ac:dyDescent="0.3">
      <c r="A1231" s="4">
        <v>63341</v>
      </c>
      <c r="B1231" s="13">
        <f t="shared" si="35"/>
        <v>138.8733671</v>
      </c>
      <c r="C1231" s="12">
        <v>28.891425405163421</v>
      </c>
      <c r="D1231" s="5">
        <f t="shared" si="36"/>
        <v>6</v>
      </c>
      <c r="Q1231" s="4">
        <v>63341</v>
      </c>
      <c r="R1231" s="7">
        <v>29.27209757460529</v>
      </c>
      <c r="S1231" s="7">
        <v>34.24696899636912</v>
      </c>
      <c r="T1231" s="8">
        <v>0.65691552435961365</v>
      </c>
      <c r="U1231" s="7">
        <v>33.998199998728523</v>
      </c>
    </row>
    <row r="1232" spans="1:21" x14ac:dyDescent="0.3">
      <c r="A1232" s="4">
        <v>63371</v>
      </c>
      <c r="B1232" s="13">
        <f t="shared" si="35"/>
        <v>185.88511790000001</v>
      </c>
      <c r="C1232" s="12">
        <v>4.2508492879278548E-2</v>
      </c>
      <c r="D1232" s="5">
        <f t="shared" si="36"/>
        <v>7</v>
      </c>
      <c r="Q1232" s="4">
        <v>63371</v>
      </c>
      <c r="R1232" s="7">
        <v>0.15382492474963694</v>
      </c>
      <c r="S1232" s="7">
        <v>0.70752637411833397</v>
      </c>
      <c r="T1232" s="8">
        <v>3.003876972546066E-2</v>
      </c>
      <c r="U1232" s="7">
        <v>1.6241836475897584</v>
      </c>
    </row>
    <row r="1233" spans="1:21" x14ac:dyDescent="0.3">
      <c r="A1233" s="4">
        <v>63402</v>
      </c>
      <c r="B1233" s="13">
        <f t="shared" si="35"/>
        <v>77.669840699999995</v>
      </c>
      <c r="C1233" s="12">
        <v>4.1283749880676615</v>
      </c>
      <c r="D1233" s="5">
        <f t="shared" si="36"/>
        <v>8</v>
      </c>
      <c r="Q1233" s="4">
        <v>63402</v>
      </c>
      <c r="R1233" s="7">
        <v>22.453493360218019</v>
      </c>
      <c r="S1233" s="7">
        <v>41.610235624921586</v>
      </c>
      <c r="T1233" s="8">
        <v>0.58357199951328875</v>
      </c>
      <c r="U1233" s="7">
        <v>31.854769718749349</v>
      </c>
    </row>
    <row r="1234" spans="1:21" x14ac:dyDescent="0.3">
      <c r="A1234" s="4">
        <v>63433</v>
      </c>
      <c r="B1234" s="13">
        <f t="shared" si="35"/>
        <v>20.655076399999999</v>
      </c>
      <c r="C1234" s="12">
        <v>43.647856567986388</v>
      </c>
      <c r="D1234" s="5">
        <f t="shared" si="36"/>
        <v>9</v>
      </c>
      <c r="Q1234" s="4">
        <v>63433</v>
      </c>
      <c r="R1234" s="7">
        <v>146.25679857323686</v>
      </c>
      <c r="S1234" s="7">
        <v>120.8169310297173</v>
      </c>
      <c r="T1234" s="8">
        <v>0.89675775882920372</v>
      </c>
      <c r="U1234" s="7">
        <v>119.15172963683887</v>
      </c>
    </row>
    <row r="1235" spans="1:21" x14ac:dyDescent="0.3">
      <c r="A1235" s="4">
        <v>63463</v>
      </c>
      <c r="B1235" s="13">
        <f t="shared" si="35"/>
        <v>10.198183999999999</v>
      </c>
      <c r="C1235" s="12">
        <v>16.075074016407587</v>
      </c>
      <c r="D1235" s="5">
        <f t="shared" si="36"/>
        <v>10</v>
      </c>
      <c r="Q1235" s="4">
        <v>63463</v>
      </c>
      <c r="R1235" s="7">
        <v>39.454947249435918</v>
      </c>
      <c r="S1235" s="7">
        <v>80.675992120356909</v>
      </c>
      <c r="T1235" s="8">
        <v>0.16466675797834054</v>
      </c>
      <c r="U1235" s="7">
        <v>85.550983670025374</v>
      </c>
    </row>
    <row r="1236" spans="1:21" x14ac:dyDescent="0.3">
      <c r="A1236" s="4">
        <v>63494</v>
      </c>
      <c r="B1236" s="13">
        <f t="shared" si="35"/>
        <v>4.3186388000000004</v>
      </c>
      <c r="C1236" s="12">
        <v>195.06129110232004</v>
      </c>
      <c r="D1236" s="5">
        <f t="shared" si="36"/>
        <v>11</v>
      </c>
      <c r="Q1236" s="4">
        <v>63494</v>
      </c>
      <c r="R1236" s="7">
        <v>422.7612300861303</v>
      </c>
      <c r="S1236" s="7">
        <v>332.26237640198389</v>
      </c>
      <c r="T1236" s="8">
        <v>0.93914198167889396</v>
      </c>
      <c r="U1236" s="7">
        <v>340.16252940785523</v>
      </c>
    </row>
    <row r="1237" spans="1:21" x14ac:dyDescent="0.3">
      <c r="A1237" s="4">
        <v>63524</v>
      </c>
      <c r="B1237" s="13">
        <f t="shared" si="35"/>
        <v>167.88822149999999</v>
      </c>
      <c r="C1237" s="12">
        <v>52.579074155073727</v>
      </c>
      <c r="D1237" s="5">
        <f t="shared" si="36"/>
        <v>12</v>
      </c>
      <c r="Q1237" s="4">
        <v>63524</v>
      </c>
      <c r="R1237" s="7">
        <v>110.92790604859016</v>
      </c>
      <c r="S1237" s="7">
        <v>126.83728820080806</v>
      </c>
      <c r="T1237" s="8">
        <v>0.11776417681248123</v>
      </c>
      <c r="U1237" s="7">
        <v>125.3527990917634</v>
      </c>
    </row>
    <row r="1238" spans="1:21" x14ac:dyDescent="0.3">
      <c r="A1238" s="4">
        <v>63555</v>
      </c>
      <c r="B1238" s="13">
        <f t="shared" si="35"/>
        <v>93.682577600000002</v>
      </c>
      <c r="C1238" s="12">
        <v>139.71172019373623</v>
      </c>
      <c r="D1238" s="5">
        <f t="shared" si="36"/>
        <v>1</v>
      </c>
      <c r="Q1238" s="4">
        <v>63555</v>
      </c>
      <c r="R1238" s="7">
        <v>192.10745902980105</v>
      </c>
      <c r="S1238" s="7">
        <v>194.41869837096084</v>
      </c>
      <c r="T1238" s="8">
        <v>0.70041879960692532</v>
      </c>
      <c r="U1238" s="7">
        <v>196.58525028886942</v>
      </c>
    </row>
    <row r="1239" spans="1:21" x14ac:dyDescent="0.3">
      <c r="A1239" s="4">
        <v>63586</v>
      </c>
      <c r="B1239" s="13">
        <f t="shared" si="35"/>
        <v>92.523060000000001</v>
      </c>
      <c r="C1239" s="12">
        <v>48.083933140151167</v>
      </c>
      <c r="D1239" s="5">
        <f t="shared" si="36"/>
        <v>2</v>
      </c>
      <c r="Q1239" s="4">
        <v>63586</v>
      </c>
      <c r="R1239" s="7">
        <v>93.966590363451999</v>
      </c>
      <c r="S1239" s="7">
        <v>113.67000272164859</v>
      </c>
      <c r="T1239" s="8">
        <v>0.16748783467629783</v>
      </c>
      <c r="U1239" s="7">
        <v>114.29033547870935</v>
      </c>
    </row>
    <row r="1240" spans="1:21" x14ac:dyDescent="0.3">
      <c r="A1240" s="4">
        <v>63614</v>
      </c>
      <c r="B1240" s="13">
        <f t="shared" si="35"/>
        <v>261.52475820000001</v>
      </c>
      <c r="C1240" s="12">
        <v>15.348516675294377</v>
      </c>
      <c r="D1240" s="5">
        <f t="shared" si="36"/>
        <v>3</v>
      </c>
      <c r="Q1240" s="4">
        <v>63614</v>
      </c>
      <c r="R1240" s="7">
        <v>32.706642702096012</v>
      </c>
      <c r="S1240" s="7">
        <v>37.101181687922455</v>
      </c>
      <c r="T1240" s="8">
        <v>1.5721482281820885E-2</v>
      </c>
      <c r="U1240" s="7">
        <v>37.925862452701743</v>
      </c>
    </row>
    <row r="1241" spans="1:21" x14ac:dyDescent="0.3">
      <c r="A1241" s="4">
        <v>63645</v>
      </c>
      <c r="B1241" s="13">
        <f t="shared" si="35"/>
        <v>324.18182860000002</v>
      </c>
      <c r="C1241" s="12">
        <v>44.600297464057881</v>
      </c>
      <c r="D1241" s="5">
        <f t="shared" si="36"/>
        <v>4</v>
      </c>
      <c r="Q1241" s="4">
        <v>63645</v>
      </c>
      <c r="R1241" s="7">
        <v>83.991804549894766</v>
      </c>
      <c r="S1241" s="7">
        <v>77.279148944342865</v>
      </c>
      <c r="T1241" s="8">
        <v>0.18751069092378619</v>
      </c>
      <c r="U1241" s="7">
        <v>77.458100689597956</v>
      </c>
    </row>
    <row r="1242" spans="1:21" x14ac:dyDescent="0.3">
      <c r="A1242" s="4">
        <v>63675</v>
      </c>
      <c r="B1242" s="13">
        <f t="shared" si="35"/>
        <v>308.90201089999999</v>
      </c>
      <c r="C1242" s="12">
        <v>52.056047483347363</v>
      </c>
      <c r="D1242" s="5">
        <f t="shared" si="36"/>
        <v>5</v>
      </c>
      <c r="Q1242" s="4">
        <v>63675</v>
      </c>
      <c r="R1242" s="7">
        <v>88.453527313655727</v>
      </c>
      <c r="S1242" s="7">
        <v>93.56224969999657</v>
      </c>
      <c r="T1242" s="8">
        <v>0.48640768546069796</v>
      </c>
      <c r="U1242" s="7">
        <v>92.391644468342506</v>
      </c>
    </row>
    <row r="1243" spans="1:21" x14ac:dyDescent="0.3">
      <c r="A1243" s="4">
        <v>63706</v>
      </c>
      <c r="B1243" s="13">
        <f t="shared" si="35"/>
        <v>113.0208131</v>
      </c>
      <c r="C1243" s="12">
        <v>4.0599944331915943</v>
      </c>
      <c r="D1243" s="5">
        <f t="shared" si="36"/>
        <v>6</v>
      </c>
      <c r="Q1243" s="4">
        <v>63706</v>
      </c>
      <c r="R1243" s="7">
        <v>4.113488743947503</v>
      </c>
      <c r="S1243" s="7">
        <v>10.091400490609947</v>
      </c>
      <c r="T1243" s="8">
        <v>0.2381266255611969</v>
      </c>
      <c r="U1243" s="7">
        <v>12.775076207047178</v>
      </c>
    </row>
    <row r="1244" spans="1:21" x14ac:dyDescent="0.3">
      <c r="A1244" s="4">
        <v>63736</v>
      </c>
      <c r="B1244" s="13">
        <f t="shared" si="35"/>
        <v>246.16427759999999</v>
      </c>
      <c r="C1244" s="12">
        <v>3.2461521849453409E-8</v>
      </c>
      <c r="D1244" s="5">
        <f t="shared" si="36"/>
        <v>7</v>
      </c>
      <c r="Q1244" s="4">
        <v>63736</v>
      </c>
      <c r="R1244" s="7">
        <v>1.1746808267072145E-7</v>
      </c>
      <c r="S1244" s="7">
        <v>2.6209161963901098E-5</v>
      </c>
      <c r="T1244" s="8">
        <v>3.2180127695029389E-6</v>
      </c>
      <c r="U1244" s="7">
        <v>1.5442505103751905E-3</v>
      </c>
    </row>
    <row r="1245" spans="1:21" x14ac:dyDescent="0.3">
      <c r="A1245" s="4">
        <v>63767</v>
      </c>
      <c r="B1245" s="13">
        <f t="shared" si="35"/>
        <v>211.8117077</v>
      </c>
      <c r="C1245" s="12">
        <v>0</v>
      </c>
      <c r="D1245" s="5">
        <f t="shared" si="36"/>
        <v>8</v>
      </c>
      <c r="Q1245" s="4">
        <v>63767</v>
      </c>
      <c r="R1245" s="7">
        <v>0</v>
      </c>
      <c r="S1245" s="7">
        <v>0</v>
      </c>
      <c r="T1245" s="8">
        <v>0</v>
      </c>
      <c r="U1245" s="7">
        <v>0</v>
      </c>
    </row>
    <row r="1246" spans="1:21" x14ac:dyDescent="0.3">
      <c r="A1246" s="4">
        <v>63798</v>
      </c>
      <c r="B1246" s="13">
        <f t="shared" si="35"/>
        <v>31.2156746</v>
      </c>
      <c r="C1246" s="12">
        <v>8.162263715348681</v>
      </c>
      <c r="D1246" s="5">
        <f t="shared" si="36"/>
        <v>9</v>
      </c>
      <c r="Q1246" s="4">
        <v>63798</v>
      </c>
      <c r="R1246" s="7">
        <v>27.350405128323697</v>
      </c>
      <c r="S1246" s="7">
        <v>42.789278434269043</v>
      </c>
      <c r="T1246" s="8">
        <v>0.44056792074223183</v>
      </c>
      <c r="U1246" s="7">
        <v>41.888678109361614</v>
      </c>
    </row>
    <row r="1247" spans="1:21" x14ac:dyDescent="0.3">
      <c r="A1247" s="4">
        <v>63828</v>
      </c>
      <c r="B1247" s="13">
        <f t="shared" si="35"/>
        <v>64.799835000000002</v>
      </c>
      <c r="C1247" s="12">
        <v>23.629717907169844</v>
      </c>
      <c r="D1247" s="5">
        <f t="shared" si="36"/>
        <v>10</v>
      </c>
      <c r="Q1247" s="4">
        <v>63828</v>
      </c>
      <c r="R1247" s="7">
        <v>57.99719942781249</v>
      </c>
      <c r="S1247" s="7">
        <v>100.71326971650302</v>
      </c>
      <c r="T1247" s="8">
        <v>0.24571244511311488</v>
      </c>
      <c r="U1247" s="7">
        <v>103.11251549488743</v>
      </c>
    </row>
    <row r="1248" spans="1:21" x14ac:dyDescent="0.3">
      <c r="A1248" s="4">
        <v>63859</v>
      </c>
      <c r="B1248" s="13">
        <f t="shared" si="35"/>
        <v>23.737748400000001</v>
      </c>
      <c r="C1248" s="12">
        <v>54.218328616116281</v>
      </c>
      <c r="D1248" s="5">
        <f t="shared" si="36"/>
        <v>11</v>
      </c>
      <c r="Q1248" s="4">
        <v>63859</v>
      </c>
      <c r="R1248" s="7">
        <v>117.50874388983644</v>
      </c>
      <c r="S1248" s="7">
        <v>154.08724001587453</v>
      </c>
      <c r="T1248" s="8">
        <v>0.25568821284325682</v>
      </c>
      <c r="U1248" s="7">
        <v>150.78095883645747</v>
      </c>
    </row>
    <row r="1249" spans="1:21" x14ac:dyDescent="0.3">
      <c r="A1249" s="4">
        <v>63889</v>
      </c>
      <c r="B1249" s="13">
        <f t="shared" si="35"/>
        <v>30.0098235</v>
      </c>
      <c r="C1249" s="12">
        <v>44.73243659595019</v>
      </c>
      <c r="D1249" s="5">
        <f t="shared" si="36"/>
        <v>12</v>
      </c>
      <c r="Q1249" s="4">
        <v>63889</v>
      </c>
      <c r="R1249" s="7">
        <v>94.373581197059806</v>
      </c>
      <c r="S1249" s="7">
        <v>110.71788489783484</v>
      </c>
      <c r="T1249" s="8">
        <v>7.4416641205001202E-2</v>
      </c>
      <c r="U1249" s="7">
        <v>109.60826148547554</v>
      </c>
    </row>
    <row r="1250" spans="1:21" x14ac:dyDescent="0.3">
      <c r="A1250" s="4">
        <v>63920</v>
      </c>
      <c r="B1250" s="13">
        <f t="shared" si="35"/>
        <v>309.46894900000001</v>
      </c>
      <c r="C1250" s="12">
        <v>99.495171708986263</v>
      </c>
      <c r="D1250" s="5">
        <f t="shared" si="36"/>
        <v>1</v>
      </c>
      <c r="Q1250" s="4">
        <v>63920</v>
      </c>
      <c r="R1250" s="7">
        <v>136.80859842139455</v>
      </c>
      <c r="S1250" s="7">
        <v>124.25276277969229</v>
      </c>
      <c r="T1250" s="8">
        <v>0.41800726240844555</v>
      </c>
      <c r="U1250" s="7">
        <v>125.45633481985374</v>
      </c>
    </row>
    <row r="1251" spans="1:21" x14ac:dyDescent="0.3">
      <c r="A1251" s="4">
        <v>63951</v>
      </c>
      <c r="B1251" s="13">
        <f t="shared" si="35"/>
        <v>158.10704319999999</v>
      </c>
      <c r="C1251" s="12">
        <v>75.641060248017226</v>
      </c>
      <c r="D1251" s="5">
        <f t="shared" si="36"/>
        <v>2</v>
      </c>
      <c r="Q1251" s="4">
        <v>63951</v>
      </c>
      <c r="R1251" s="7">
        <v>147.81928304961207</v>
      </c>
      <c r="S1251" s="7">
        <v>161.44893797684401</v>
      </c>
      <c r="T1251" s="8">
        <v>0.39025154224378533</v>
      </c>
      <c r="U1251" s="7">
        <v>160.4229160967173</v>
      </c>
    </row>
    <row r="1252" spans="1:21" x14ac:dyDescent="0.3">
      <c r="A1252" s="4">
        <v>63979</v>
      </c>
      <c r="B1252" s="13">
        <f t="shared" si="35"/>
        <v>298.53266559999997</v>
      </c>
      <c r="C1252" s="12">
        <v>28.829941552248783</v>
      </c>
      <c r="D1252" s="5">
        <f t="shared" si="36"/>
        <v>3</v>
      </c>
      <c r="Q1252" s="4">
        <v>63979</v>
      </c>
      <c r="R1252" s="7">
        <v>61.434640064566842</v>
      </c>
      <c r="S1252" s="7">
        <v>66.405513113939165</v>
      </c>
      <c r="T1252" s="8">
        <v>9.4634487336748244E-2</v>
      </c>
      <c r="U1252" s="7">
        <v>66.800861425375956</v>
      </c>
    </row>
    <row r="1253" spans="1:21" x14ac:dyDescent="0.3">
      <c r="A1253" s="4">
        <v>64010</v>
      </c>
      <c r="B1253" s="13">
        <f t="shared" si="35"/>
        <v>213.84608180000001</v>
      </c>
      <c r="C1253" s="12">
        <v>26.955274923238782</v>
      </c>
      <c r="D1253" s="5">
        <f t="shared" si="36"/>
        <v>4</v>
      </c>
      <c r="Q1253" s="4">
        <v>64010</v>
      </c>
      <c r="R1253" s="7">
        <v>50.762490648540251</v>
      </c>
      <c r="S1253" s="7">
        <v>43.719438436914245</v>
      </c>
      <c r="T1253" s="8">
        <v>3.9974201234922527E-2</v>
      </c>
      <c r="U1253" s="7">
        <v>43.174782843578932</v>
      </c>
    </row>
    <row r="1254" spans="1:21" x14ac:dyDescent="0.3">
      <c r="A1254" s="4">
        <v>64040</v>
      </c>
      <c r="B1254" s="13">
        <f t="shared" si="35"/>
        <v>110.5005215</v>
      </c>
      <c r="C1254" s="12">
        <v>41.886712366249434</v>
      </c>
      <c r="D1254" s="5">
        <f t="shared" si="36"/>
        <v>5</v>
      </c>
      <c r="Q1254" s="4">
        <v>64040</v>
      </c>
      <c r="R1254" s="7">
        <v>71.173814292230247</v>
      </c>
      <c r="S1254" s="7">
        <v>77.835079610064255</v>
      </c>
      <c r="T1254" s="8">
        <v>0.37148911929512124</v>
      </c>
      <c r="U1254" s="7">
        <v>76.848920557338388</v>
      </c>
    </row>
    <row r="1255" spans="1:21" x14ac:dyDescent="0.3">
      <c r="A1255" s="4">
        <v>64071</v>
      </c>
      <c r="B1255" s="13">
        <f t="shared" si="35"/>
        <v>241.72456159999999</v>
      </c>
      <c r="C1255" s="12">
        <v>9.014462812046995</v>
      </c>
      <c r="D1255" s="5">
        <f t="shared" si="36"/>
        <v>6</v>
      </c>
      <c r="Q1255" s="4">
        <v>64071</v>
      </c>
      <c r="R1255" s="7">
        <v>9.1332369835145517</v>
      </c>
      <c r="S1255" s="7">
        <v>16.582691442263432</v>
      </c>
      <c r="T1255" s="8">
        <v>0.37228658604469783</v>
      </c>
      <c r="U1255" s="7">
        <v>18.552894299021304</v>
      </c>
    </row>
    <row r="1256" spans="1:21" x14ac:dyDescent="0.3">
      <c r="A1256" s="4">
        <v>64101</v>
      </c>
      <c r="B1256" s="13">
        <f t="shared" si="35"/>
        <v>97.134250300000005</v>
      </c>
      <c r="C1256" s="12">
        <v>0.13440598169154336</v>
      </c>
      <c r="D1256" s="5">
        <f t="shared" si="36"/>
        <v>7</v>
      </c>
      <c r="Q1256" s="4">
        <v>64101</v>
      </c>
      <c r="R1256" s="7">
        <v>0.48637316026043109</v>
      </c>
      <c r="S1256" s="7">
        <v>1.628943221269187</v>
      </c>
      <c r="T1256" s="8">
        <v>6.3210120046235094E-2</v>
      </c>
      <c r="U1256" s="7">
        <v>2.9350809002765557</v>
      </c>
    </row>
    <row r="1257" spans="1:21" x14ac:dyDescent="0.3">
      <c r="A1257" s="4">
        <v>64132</v>
      </c>
      <c r="B1257" s="13">
        <f t="shared" si="35"/>
        <v>130.82885669999999</v>
      </c>
      <c r="C1257" s="12">
        <v>0</v>
      </c>
      <c r="D1257" s="5">
        <f t="shared" si="36"/>
        <v>8</v>
      </c>
      <c r="Q1257" s="4">
        <v>64132</v>
      </c>
      <c r="R1257" s="7">
        <v>0</v>
      </c>
      <c r="S1257" s="7">
        <v>0</v>
      </c>
      <c r="T1257" s="8">
        <v>0</v>
      </c>
      <c r="U1257" s="7">
        <v>0</v>
      </c>
    </row>
    <row r="1258" spans="1:21" x14ac:dyDescent="0.3">
      <c r="A1258" s="4">
        <v>64163</v>
      </c>
      <c r="B1258" s="13">
        <f t="shared" si="35"/>
        <v>26.610938699999998</v>
      </c>
      <c r="C1258" s="12">
        <v>1.2674441336457671E-2</v>
      </c>
      <c r="D1258" s="5">
        <f t="shared" si="36"/>
        <v>9</v>
      </c>
      <c r="Q1258" s="4">
        <v>64163</v>
      </c>
      <c r="R1258" s="7">
        <v>4.2469971250185375E-2</v>
      </c>
      <c r="S1258" s="7">
        <v>0.78051339150656651</v>
      </c>
      <c r="T1258" s="8">
        <v>5.5584911118121251E-3</v>
      </c>
      <c r="U1258" s="7">
        <v>1.9839773733264272</v>
      </c>
    </row>
    <row r="1259" spans="1:21" x14ac:dyDescent="0.3">
      <c r="A1259" s="4">
        <v>64193</v>
      </c>
      <c r="B1259" s="13">
        <f t="shared" si="35"/>
        <v>1.63548</v>
      </c>
      <c r="C1259" s="12">
        <v>36.030079383635886</v>
      </c>
      <c r="D1259" s="5">
        <f t="shared" si="36"/>
        <v>10</v>
      </c>
      <c r="Q1259" s="4">
        <v>64193</v>
      </c>
      <c r="R1259" s="7">
        <v>88.432866935690157</v>
      </c>
      <c r="S1259" s="7">
        <v>128.40611032954175</v>
      </c>
      <c r="T1259" s="8">
        <v>0.36785267719477865</v>
      </c>
      <c r="U1259" s="7">
        <v>127.74513043388393</v>
      </c>
    </row>
    <row r="1260" spans="1:21" x14ac:dyDescent="0.3">
      <c r="A1260" s="4">
        <v>64224</v>
      </c>
      <c r="B1260" s="13">
        <f t="shared" si="35"/>
        <v>18.916799699999999</v>
      </c>
      <c r="C1260" s="12">
        <v>86.539719952270431</v>
      </c>
      <c r="D1260" s="5">
        <f t="shared" si="36"/>
        <v>11</v>
      </c>
      <c r="Q1260" s="4">
        <v>64224</v>
      </c>
      <c r="R1260" s="7">
        <v>187.55970624197275</v>
      </c>
      <c r="S1260" s="7">
        <v>204.00679574946133</v>
      </c>
      <c r="T1260" s="8">
        <v>0.51656724642050289</v>
      </c>
      <c r="U1260" s="7">
        <v>200.01099190354964</v>
      </c>
    </row>
    <row r="1261" spans="1:21" x14ac:dyDescent="0.3">
      <c r="A1261" s="4">
        <v>64254</v>
      </c>
      <c r="B1261" s="13">
        <f t="shared" si="35"/>
        <v>25.931323899999999</v>
      </c>
      <c r="C1261" s="12">
        <v>64.906316937413081</v>
      </c>
      <c r="D1261" s="5">
        <f t="shared" si="36"/>
        <v>12</v>
      </c>
      <c r="Q1261" s="4">
        <v>64254</v>
      </c>
      <c r="R1261" s="7">
        <v>136.93511996727702</v>
      </c>
      <c r="S1261" s="7">
        <v>151.41725949922235</v>
      </c>
      <c r="T1261" s="8">
        <v>0.2026950110995023</v>
      </c>
      <c r="U1261" s="7">
        <v>149.52069291545735</v>
      </c>
    </row>
    <row r="1262" spans="1:21" x14ac:dyDescent="0.3">
      <c r="A1262" s="4">
        <v>64285</v>
      </c>
      <c r="B1262" s="13">
        <f t="shared" si="35"/>
        <v>325.60627670000002</v>
      </c>
      <c r="C1262" s="12">
        <v>79.421532381093257</v>
      </c>
      <c r="D1262" s="5">
        <f t="shared" si="36"/>
        <v>1</v>
      </c>
      <c r="Q1262" s="4">
        <v>64285</v>
      </c>
      <c r="R1262" s="7">
        <v>109.20679207748339</v>
      </c>
      <c r="S1262" s="7">
        <v>92.308824557338525</v>
      </c>
      <c r="T1262" s="8">
        <v>0.25769465491651022</v>
      </c>
      <c r="U1262" s="7">
        <v>92.288366181196295</v>
      </c>
    </row>
    <row r="1263" spans="1:21" x14ac:dyDescent="0.3">
      <c r="A1263" s="4">
        <v>64316</v>
      </c>
      <c r="B1263" s="13">
        <f t="shared" si="35"/>
        <v>202.01087469999999</v>
      </c>
      <c r="C1263" s="12">
        <v>133.5093712667003</v>
      </c>
      <c r="D1263" s="5">
        <f t="shared" si="36"/>
        <v>2</v>
      </c>
      <c r="Q1263" s="4">
        <v>64316</v>
      </c>
      <c r="R1263" s="7">
        <v>260.90670168211233</v>
      </c>
      <c r="S1263" s="7">
        <v>250.69574187602976</v>
      </c>
      <c r="T1263" s="8">
        <v>0.76844708732982947</v>
      </c>
      <c r="U1263" s="7">
        <v>249.3773096956333</v>
      </c>
    </row>
    <row r="1264" spans="1:21" x14ac:dyDescent="0.3">
      <c r="A1264" s="4">
        <v>64345</v>
      </c>
      <c r="B1264" s="13">
        <f t="shared" si="35"/>
        <v>350.08974749999999</v>
      </c>
      <c r="C1264" s="12">
        <v>82.044397573918118</v>
      </c>
      <c r="D1264" s="5">
        <f t="shared" si="36"/>
        <v>3</v>
      </c>
      <c r="Q1264" s="4">
        <v>64345</v>
      </c>
      <c r="R1264" s="7">
        <v>174.8310181320754</v>
      </c>
      <c r="S1264" s="7">
        <v>174.4353189473282</v>
      </c>
      <c r="T1264" s="8">
        <v>0.67935592882212525</v>
      </c>
      <c r="U1264" s="7">
        <v>173.98705609280441</v>
      </c>
    </row>
    <row r="1265" spans="1:21" x14ac:dyDescent="0.3">
      <c r="A1265" s="4">
        <v>64376</v>
      </c>
      <c r="B1265" s="13">
        <f t="shared" si="35"/>
        <v>257.61639930000001</v>
      </c>
      <c r="C1265" s="12">
        <v>116.12815142143506</v>
      </c>
      <c r="D1265" s="5">
        <f t="shared" si="36"/>
        <v>4</v>
      </c>
      <c r="Q1265" s="4">
        <v>64376</v>
      </c>
      <c r="R1265" s="7">
        <v>218.69390007521991</v>
      </c>
      <c r="S1265" s="7">
        <v>228.13446195282825</v>
      </c>
      <c r="T1265" s="8">
        <v>0.88123432054646789</v>
      </c>
      <c r="U1265" s="7">
        <v>227.84762496422312</v>
      </c>
    </row>
    <row r="1266" spans="1:21" x14ac:dyDescent="0.3">
      <c r="A1266" s="4">
        <v>64406</v>
      </c>
      <c r="B1266" s="13">
        <f t="shared" si="35"/>
        <v>229.90035789999999</v>
      </c>
      <c r="C1266" s="12">
        <v>46.540448314044596</v>
      </c>
      <c r="D1266" s="5">
        <f t="shared" si="36"/>
        <v>5</v>
      </c>
      <c r="Q1266" s="4">
        <v>64406</v>
      </c>
      <c r="R1266" s="7">
        <v>79.081432708717273</v>
      </c>
      <c r="S1266" s="7">
        <v>85.097355905423981</v>
      </c>
      <c r="T1266" s="8">
        <v>0.42543817365661041</v>
      </c>
      <c r="U1266" s="7">
        <v>84.006964241207115</v>
      </c>
    </row>
    <row r="1267" spans="1:21" x14ac:dyDescent="0.3">
      <c r="A1267" s="4">
        <v>64437</v>
      </c>
      <c r="B1267" s="13">
        <f t="shared" si="35"/>
        <v>57.142262500000001</v>
      </c>
      <c r="C1267" s="12">
        <v>0.17584269426151866</v>
      </c>
      <c r="D1267" s="5">
        <f t="shared" si="36"/>
        <v>6</v>
      </c>
      <c r="Q1267" s="4">
        <v>64437</v>
      </c>
      <c r="R1267" s="7">
        <v>0.17815958998287248</v>
      </c>
      <c r="S1267" s="7">
        <v>1.4288798898695958</v>
      </c>
      <c r="T1267" s="8">
        <v>3.6578592526392797E-2</v>
      </c>
      <c r="U1267" s="7">
        <v>3.5089076934302588</v>
      </c>
    </row>
    <row r="1268" spans="1:21" x14ac:dyDescent="0.3">
      <c r="A1268" s="4">
        <v>64467</v>
      </c>
      <c r="B1268" s="13">
        <f t="shared" si="35"/>
        <v>152.03965389999999</v>
      </c>
      <c r="C1268" s="12">
        <v>2.1056769815913867</v>
      </c>
      <c r="D1268" s="5">
        <f t="shared" si="36"/>
        <v>7</v>
      </c>
      <c r="Q1268" s="4">
        <v>64467</v>
      </c>
      <c r="R1268" s="7">
        <v>7.6197856310786953</v>
      </c>
      <c r="S1268" s="7">
        <v>11.955168287007167</v>
      </c>
      <c r="T1268" s="8">
        <v>0.35209766070193466</v>
      </c>
      <c r="U1268" s="7">
        <v>13.38362879496324</v>
      </c>
    </row>
    <row r="1269" spans="1:21" x14ac:dyDescent="0.3">
      <c r="A1269" s="4">
        <v>64498</v>
      </c>
      <c r="B1269" s="13">
        <f t="shared" si="35"/>
        <v>113.5210194</v>
      </c>
      <c r="C1269" s="12">
        <v>34.477498332853358</v>
      </c>
      <c r="D1269" s="5">
        <f t="shared" si="36"/>
        <v>8</v>
      </c>
      <c r="Q1269" s="4">
        <v>64498</v>
      </c>
      <c r="R1269" s="7">
        <v>187.51694846789994</v>
      </c>
      <c r="S1269" s="7">
        <v>76.112199239765062</v>
      </c>
      <c r="T1269" s="8">
        <v>0.98516117401332759</v>
      </c>
      <c r="U1269" s="7">
        <v>103.80539060434226</v>
      </c>
    </row>
    <row r="1270" spans="1:21" x14ac:dyDescent="0.3">
      <c r="A1270" s="4">
        <v>64529</v>
      </c>
      <c r="B1270" s="13">
        <f t="shared" si="35"/>
        <v>20.604611500000001</v>
      </c>
      <c r="C1270" s="12">
        <v>2.5235110001631246E-5</v>
      </c>
      <c r="D1270" s="5">
        <f t="shared" si="36"/>
        <v>9</v>
      </c>
      <c r="Q1270" s="4">
        <v>64529</v>
      </c>
      <c r="R1270" s="7">
        <v>8.45587089650832E-5</v>
      </c>
      <c r="S1270" s="7">
        <v>1.6605873790238562E-2</v>
      </c>
      <c r="T1270" s="8">
        <v>7.3426463700450743E-5</v>
      </c>
      <c r="U1270" s="7">
        <v>0.14029516205358245</v>
      </c>
    </row>
    <row r="1271" spans="1:21" x14ac:dyDescent="0.3">
      <c r="A1271" s="4">
        <v>64559</v>
      </c>
      <c r="B1271" s="13">
        <f t="shared" si="35"/>
        <v>4.1861344999999996</v>
      </c>
      <c r="C1271" s="12">
        <v>126.6293495544233</v>
      </c>
      <c r="D1271" s="5">
        <f t="shared" si="36"/>
        <v>10</v>
      </c>
      <c r="Q1271" s="4">
        <v>64559</v>
      </c>
      <c r="R1271" s="7">
        <v>310.80132519456231</v>
      </c>
      <c r="S1271" s="7">
        <v>264.80290009991916</v>
      </c>
      <c r="T1271" s="8">
        <v>0.84684828387450262</v>
      </c>
      <c r="U1271" s="7">
        <v>260.72569951647165</v>
      </c>
    </row>
    <row r="1272" spans="1:21" x14ac:dyDescent="0.3">
      <c r="A1272" s="4">
        <v>64590</v>
      </c>
      <c r="B1272" s="13">
        <f t="shared" si="35"/>
        <v>57.942728199999998</v>
      </c>
      <c r="C1272" s="12">
        <v>56.266446656081875</v>
      </c>
      <c r="D1272" s="5">
        <f t="shared" si="36"/>
        <v>11</v>
      </c>
      <c r="Q1272" s="4">
        <v>64590</v>
      </c>
      <c r="R1272" s="7">
        <v>121.94768150295444</v>
      </c>
      <c r="S1272" s="7">
        <v>157.55477742643293</v>
      </c>
      <c r="T1272" s="8">
        <v>0.27260956798847741</v>
      </c>
      <c r="U1272" s="7">
        <v>154.11111667353353</v>
      </c>
    </row>
    <row r="1273" spans="1:21" x14ac:dyDescent="0.3">
      <c r="A1273" s="4">
        <v>64620</v>
      </c>
      <c r="B1273" s="13">
        <f t="shared" si="35"/>
        <v>39.955255299999997</v>
      </c>
      <c r="C1273" s="12">
        <v>155.88980616303158</v>
      </c>
      <c r="D1273" s="5">
        <f t="shared" si="36"/>
        <v>12</v>
      </c>
      <c r="Q1273" s="4">
        <v>64620</v>
      </c>
      <c r="R1273" s="7">
        <v>328.88615955815607</v>
      </c>
      <c r="S1273" s="7">
        <v>316.37097895766698</v>
      </c>
      <c r="T1273" s="8">
        <v>0.82188704333614493</v>
      </c>
      <c r="U1273" s="7">
        <v>316.98897143649748</v>
      </c>
    </row>
    <row r="1274" spans="1:21" x14ac:dyDescent="0.3">
      <c r="A1274" s="4">
        <v>64651</v>
      </c>
      <c r="B1274" s="13">
        <f t="shared" si="35"/>
        <v>102.8811611</v>
      </c>
      <c r="C1274" s="12">
        <v>58.196668251184811</v>
      </c>
      <c r="D1274" s="5">
        <f t="shared" si="36"/>
        <v>1</v>
      </c>
      <c r="Q1274" s="4">
        <v>64651</v>
      </c>
      <c r="R1274" s="7">
        <v>80.022019958184217</v>
      </c>
      <c r="S1274" s="7">
        <v>61.256489856683956</v>
      </c>
      <c r="T1274" s="8">
        <v>0.1123896034565894</v>
      </c>
      <c r="U1274" s="7">
        <v>59.707706165647984</v>
      </c>
    </row>
    <row r="1275" spans="1:21" x14ac:dyDescent="0.3">
      <c r="A1275" s="4">
        <v>64682</v>
      </c>
      <c r="B1275" s="13">
        <f t="shared" si="35"/>
        <v>98.114915199999999</v>
      </c>
      <c r="C1275" s="12">
        <v>74.716761801391954</v>
      </c>
      <c r="D1275" s="5">
        <f t="shared" si="36"/>
        <v>2</v>
      </c>
      <c r="Q1275" s="4">
        <v>64682</v>
      </c>
      <c r="R1275" s="7">
        <v>146.01300041348787</v>
      </c>
      <c r="S1275" s="7">
        <v>159.9188594788547</v>
      </c>
      <c r="T1275" s="8">
        <v>0.38263969079424037</v>
      </c>
      <c r="U1275" s="7">
        <v>158.93067204887305</v>
      </c>
    </row>
    <row r="1276" spans="1:21" x14ac:dyDescent="0.3">
      <c r="A1276" s="4">
        <v>64710</v>
      </c>
      <c r="B1276" s="13">
        <f t="shared" si="35"/>
        <v>449.20146499999998</v>
      </c>
      <c r="C1276" s="12">
        <v>83.282991615123919</v>
      </c>
      <c r="D1276" s="5">
        <f t="shared" si="36"/>
        <v>3</v>
      </c>
      <c r="Q1276" s="4">
        <v>64710</v>
      </c>
      <c r="R1276" s="7">
        <v>177.47037759694607</v>
      </c>
      <c r="S1276" s="7">
        <v>176.86568945998187</v>
      </c>
      <c r="T1276" s="8">
        <v>0.6900479702968858</v>
      </c>
      <c r="U1276" s="7">
        <v>176.42134066274161</v>
      </c>
    </row>
    <row r="1277" spans="1:21" x14ac:dyDescent="0.3">
      <c r="A1277" s="4">
        <v>64741</v>
      </c>
      <c r="B1277" s="13">
        <f t="shared" si="35"/>
        <v>64.802030999999999</v>
      </c>
      <c r="C1277" s="12">
        <v>94.390725949779267</v>
      </c>
      <c r="D1277" s="5">
        <f t="shared" si="36"/>
        <v>4</v>
      </c>
      <c r="Q1277" s="4">
        <v>64741</v>
      </c>
      <c r="R1277" s="7">
        <v>177.75772486014316</v>
      </c>
      <c r="S1277" s="7">
        <v>180.45676816870292</v>
      </c>
      <c r="T1277" s="8">
        <v>0.75021938406437705</v>
      </c>
      <c r="U1277" s="7">
        <v>181.0130504884944</v>
      </c>
    </row>
    <row r="1278" spans="1:21" x14ac:dyDescent="0.3">
      <c r="A1278" s="4">
        <v>64771</v>
      </c>
      <c r="B1278" s="13">
        <f t="shared" si="35"/>
        <v>162.68020329999999</v>
      </c>
      <c r="C1278" s="12">
        <v>28.014306124532659</v>
      </c>
      <c r="D1278" s="5">
        <f t="shared" si="36"/>
        <v>5</v>
      </c>
      <c r="Q1278" s="4">
        <v>64771</v>
      </c>
      <c r="R1278" s="7">
        <v>47.601850539116683</v>
      </c>
      <c r="S1278" s="7">
        <v>55.367878028173969</v>
      </c>
      <c r="T1278" s="8">
        <v>0.20530079546158339</v>
      </c>
      <c r="U1278" s="7">
        <v>54.900739240254211</v>
      </c>
    </row>
    <row r="1279" spans="1:21" x14ac:dyDescent="0.3">
      <c r="A1279" s="4">
        <v>64802</v>
      </c>
      <c r="B1279" s="13">
        <f t="shared" si="35"/>
        <v>230.97176329999999</v>
      </c>
      <c r="C1279" s="12">
        <v>20.485652406932775</v>
      </c>
      <c r="D1279" s="5">
        <f t="shared" si="36"/>
        <v>6</v>
      </c>
      <c r="Q1279" s="4">
        <v>64802</v>
      </c>
      <c r="R1279" s="7">
        <v>20.755570475522962</v>
      </c>
      <c r="S1279" s="7">
        <v>27.646797663940983</v>
      </c>
      <c r="T1279" s="8">
        <v>0.56446151038669812</v>
      </c>
      <c r="U1279" s="7">
        <v>28.176318180754446</v>
      </c>
    </row>
    <row r="1280" spans="1:21" x14ac:dyDescent="0.3">
      <c r="A1280" s="4">
        <v>64832</v>
      </c>
      <c r="B1280" s="13">
        <f t="shared" ref="B1280:B1343" si="37">B899</f>
        <v>83.452341099999998</v>
      </c>
      <c r="C1280" s="12">
        <v>9.0393711843716987E-2</v>
      </c>
      <c r="D1280" s="5">
        <f t="shared" si="36"/>
        <v>7</v>
      </c>
      <c r="Q1280" s="4">
        <v>64832</v>
      </c>
      <c r="R1280" s="7">
        <v>0.32710653754977642</v>
      </c>
      <c r="S1280" s="7">
        <v>1.2220934811934483</v>
      </c>
      <c r="T1280" s="8">
        <v>4.8936752797710675E-2</v>
      </c>
      <c r="U1280" s="7">
        <v>2.389691169569371</v>
      </c>
    </row>
    <row r="1281" spans="1:21" x14ac:dyDescent="0.3">
      <c r="A1281" s="4">
        <v>64863</v>
      </c>
      <c r="B1281" s="13">
        <f t="shared" si="37"/>
        <v>109.79317899999999</v>
      </c>
      <c r="C1281" s="12">
        <v>1.9917359568353274</v>
      </c>
      <c r="D1281" s="5">
        <f t="shared" si="36"/>
        <v>8</v>
      </c>
      <c r="Q1281" s="4">
        <v>64863</v>
      </c>
      <c r="R1281" s="7">
        <v>10.832695724436103</v>
      </c>
      <c r="S1281" s="7">
        <v>33.817190354445664</v>
      </c>
      <c r="T1281" s="8">
        <v>0.42041010418167435</v>
      </c>
      <c r="U1281" s="7">
        <v>23.037396705910538</v>
      </c>
    </row>
    <row r="1282" spans="1:21" x14ac:dyDescent="0.3">
      <c r="A1282" s="4">
        <v>64894</v>
      </c>
      <c r="B1282" s="13">
        <f t="shared" si="37"/>
        <v>21.7297835</v>
      </c>
      <c r="C1282" s="12">
        <v>33.909944031620348</v>
      </c>
      <c r="D1282" s="5">
        <f t="shared" si="36"/>
        <v>9</v>
      </c>
      <c r="Q1282" s="4">
        <v>64894</v>
      </c>
      <c r="R1282" s="7">
        <v>113.62665303248895</v>
      </c>
      <c r="S1282" s="7">
        <v>103.33636656396776</v>
      </c>
      <c r="T1282" s="8">
        <v>0.84015441261847901</v>
      </c>
      <c r="U1282" s="7">
        <v>100.39553403492918</v>
      </c>
    </row>
    <row r="1283" spans="1:21" x14ac:dyDescent="0.3">
      <c r="A1283" s="4">
        <v>64924</v>
      </c>
      <c r="B1283" s="13">
        <f t="shared" si="37"/>
        <v>13.1836977</v>
      </c>
      <c r="C1283" s="12">
        <v>12.761126813711591</v>
      </c>
      <c r="D1283" s="5">
        <f t="shared" ref="D1283:D1346" si="38">MONTH(A1283)</f>
        <v>10</v>
      </c>
      <c r="Q1283" s="4">
        <v>64924</v>
      </c>
      <c r="R1283" s="7">
        <v>31.321136360830987</v>
      </c>
      <c r="S1283" s="7">
        <v>70.632996184789761</v>
      </c>
      <c r="T1283" s="8">
        <v>0.12817682720069634</v>
      </c>
      <c r="U1283" s="7">
        <v>76.771264366484502</v>
      </c>
    </row>
    <row r="1284" spans="1:21" x14ac:dyDescent="0.3">
      <c r="A1284" s="4">
        <v>64955</v>
      </c>
      <c r="B1284" s="13">
        <f t="shared" si="37"/>
        <v>25.683597500000001</v>
      </c>
      <c r="C1284" s="12">
        <v>9.439475004910495</v>
      </c>
      <c r="D1284" s="5">
        <f t="shared" si="38"/>
        <v>11</v>
      </c>
      <c r="Q1284" s="4">
        <v>64955</v>
      </c>
      <c r="R1284" s="7">
        <v>20.458411004518247</v>
      </c>
      <c r="S1284" s="7">
        <v>53.964956972010029</v>
      </c>
      <c r="T1284" s="8">
        <v>4.7370191312310532E-3</v>
      </c>
      <c r="U1284" s="7">
        <v>58.839410859291</v>
      </c>
    </row>
    <row r="1285" spans="1:21" x14ac:dyDescent="0.3">
      <c r="A1285" s="4">
        <v>64985</v>
      </c>
      <c r="B1285" s="13">
        <f t="shared" si="37"/>
        <v>80.812722199999996</v>
      </c>
      <c r="C1285" s="12">
        <v>38.373955443967162</v>
      </c>
      <c r="D1285" s="5">
        <f t="shared" si="38"/>
        <v>12</v>
      </c>
      <c r="Q1285" s="4">
        <v>64985</v>
      </c>
      <c r="R1285" s="7">
        <v>80.958871806045508</v>
      </c>
      <c r="S1285" s="7">
        <v>97.323979350894191</v>
      </c>
      <c r="T1285" s="8">
        <v>4.6743043222834603E-2</v>
      </c>
      <c r="U1285" s="7">
        <v>96.583290096980591</v>
      </c>
    </row>
    <row r="1286" spans="1:21" x14ac:dyDescent="0.3">
      <c r="A1286" s="4">
        <v>65016</v>
      </c>
      <c r="B1286" s="13">
        <f t="shared" si="37"/>
        <v>108.18812509999999</v>
      </c>
      <c r="C1286" s="12">
        <v>28.39632060786241</v>
      </c>
      <c r="D1286" s="5">
        <f t="shared" si="38"/>
        <v>1</v>
      </c>
      <c r="Q1286" s="4">
        <v>65016</v>
      </c>
      <c r="R1286" s="7">
        <v>39.045722078344262</v>
      </c>
      <c r="S1286" s="7">
        <v>23.777493659595898</v>
      </c>
      <c r="T1286" s="8">
        <v>9.6782941388090897E-3</v>
      </c>
      <c r="U1286" s="7">
        <v>20.788818026279056</v>
      </c>
    </row>
    <row r="1287" spans="1:21" x14ac:dyDescent="0.3">
      <c r="A1287" s="4">
        <v>65047</v>
      </c>
      <c r="B1287" s="13">
        <f t="shared" si="37"/>
        <v>215.6760567</v>
      </c>
      <c r="C1287" s="12">
        <v>28.908067150041489</v>
      </c>
      <c r="D1287" s="5">
        <f t="shared" si="38"/>
        <v>2</v>
      </c>
      <c r="Q1287" s="4">
        <v>65047</v>
      </c>
      <c r="R1287" s="7">
        <v>56.492726919189209</v>
      </c>
      <c r="S1287" s="7">
        <v>76.647065179612511</v>
      </c>
      <c r="T1287" s="8">
        <v>5.112775705529618E-2</v>
      </c>
      <c r="U1287" s="7">
        <v>79.046117736726103</v>
      </c>
    </row>
    <row r="1288" spans="1:21" x14ac:dyDescent="0.3">
      <c r="A1288" s="4">
        <v>65075</v>
      </c>
      <c r="B1288" s="13">
        <f t="shared" si="37"/>
        <v>292.91370449999999</v>
      </c>
      <c r="C1288" s="12">
        <v>2.2997346924967119</v>
      </c>
      <c r="D1288" s="5">
        <f t="shared" si="38"/>
        <v>3</v>
      </c>
      <c r="Q1288" s="4">
        <v>65075</v>
      </c>
      <c r="R1288" s="7">
        <v>4.9005778531143944</v>
      </c>
      <c r="S1288" s="7">
        <v>6.4285934400790312</v>
      </c>
      <c r="T1288" s="8">
        <v>2.4513661756564183E-5</v>
      </c>
      <c r="U1288" s="7">
        <v>7.1432206732841355</v>
      </c>
    </row>
    <row r="1289" spans="1:21" x14ac:dyDescent="0.3">
      <c r="A1289" s="4">
        <v>65106</v>
      </c>
      <c r="B1289" s="13">
        <f t="shared" si="37"/>
        <v>62.543712800000002</v>
      </c>
      <c r="C1289" s="12">
        <v>66.937028488610025</v>
      </c>
      <c r="D1289" s="5">
        <f t="shared" si="38"/>
        <v>4</v>
      </c>
      <c r="Q1289" s="4">
        <v>65106</v>
      </c>
      <c r="R1289" s="7">
        <v>126.05659902821978</v>
      </c>
      <c r="S1289" s="7">
        <v>122.32809852572349</v>
      </c>
      <c r="T1289" s="8">
        <v>0.46475726544300611</v>
      </c>
      <c r="U1289" s="7">
        <v>123.05783774146107</v>
      </c>
    </row>
    <row r="1290" spans="1:21" x14ac:dyDescent="0.3">
      <c r="A1290" s="4">
        <v>65136</v>
      </c>
      <c r="B1290" s="13">
        <f t="shared" si="37"/>
        <v>143.03217140000001</v>
      </c>
      <c r="C1290" s="12">
        <v>27.357041754294144</v>
      </c>
      <c r="D1290" s="5">
        <f t="shared" si="38"/>
        <v>5</v>
      </c>
      <c r="Q1290" s="4">
        <v>65136</v>
      </c>
      <c r="R1290" s="7">
        <v>46.485028292022662</v>
      </c>
      <c r="S1290" s="7">
        <v>54.265980915426503</v>
      </c>
      <c r="T1290" s="8">
        <v>0.19758898434132519</v>
      </c>
      <c r="U1290" s="7">
        <v>53.831296159440676</v>
      </c>
    </row>
    <row r="1291" spans="1:21" x14ac:dyDescent="0.3">
      <c r="A1291" s="4">
        <v>65167</v>
      </c>
      <c r="B1291" s="13">
        <f t="shared" si="37"/>
        <v>44.807212999999997</v>
      </c>
      <c r="C1291" s="12">
        <v>30.973513727076277</v>
      </c>
      <c r="D1291" s="5">
        <f t="shared" si="38"/>
        <v>6</v>
      </c>
      <c r="Q1291" s="4">
        <v>65167</v>
      </c>
      <c r="R1291" s="7">
        <v>31.381619402042958</v>
      </c>
      <c r="S1291" s="7">
        <v>35.763524817514948</v>
      </c>
      <c r="T1291" s="8">
        <v>0.67590590624246372</v>
      </c>
      <c r="U1291" s="7">
        <v>35.352511101904334</v>
      </c>
    </row>
    <row r="1292" spans="1:21" x14ac:dyDescent="0.3">
      <c r="A1292" s="4">
        <v>65197</v>
      </c>
      <c r="B1292" s="13">
        <f t="shared" si="37"/>
        <v>32.591151400000001</v>
      </c>
      <c r="C1292" s="12">
        <v>2.5645573896926007E-8</v>
      </c>
      <c r="D1292" s="5">
        <f t="shared" si="38"/>
        <v>7</v>
      </c>
      <c r="Q1292" s="4">
        <v>65197</v>
      </c>
      <c r="R1292" s="7">
        <v>9.2803301355784259E-8</v>
      </c>
      <c r="S1292" s="7">
        <v>2.2095567489820741E-5</v>
      </c>
      <c r="T1292" s="8">
        <v>2.7615052942927245E-6</v>
      </c>
      <c r="U1292" s="7">
        <v>1.3753076404428189E-3</v>
      </c>
    </row>
    <row r="1293" spans="1:21" x14ac:dyDescent="0.3">
      <c r="A1293" s="4">
        <v>65228</v>
      </c>
      <c r="B1293" s="13">
        <f t="shared" si="37"/>
        <v>41.767181999999998</v>
      </c>
      <c r="C1293" s="12">
        <v>0.21029990666647783</v>
      </c>
      <c r="D1293" s="5">
        <f t="shared" si="38"/>
        <v>8</v>
      </c>
      <c r="Q1293" s="4">
        <v>65228</v>
      </c>
      <c r="R1293" s="7">
        <v>1.1437835883703011</v>
      </c>
      <c r="S1293" s="7">
        <v>17.837690022262567</v>
      </c>
      <c r="T1293" s="8">
        <v>0.13338783881152122</v>
      </c>
      <c r="U1293" s="7">
        <v>9.8220107113177928</v>
      </c>
    </row>
    <row r="1294" spans="1:21" x14ac:dyDescent="0.3">
      <c r="A1294" s="4">
        <v>65259</v>
      </c>
      <c r="B1294" s="13">
        <f t="shared" si="37"/>
        <v>97.867575400000007</v>
      </c>
      <c r="C1294" s="12">
        <v>7.2221426453324868</v>
      </c>
      <c r="D1294" s="5">
        <f t="shared" si="38"/>
        <v>9</v>
      </c>
      <c r="Q1294" s="4">
        <v>65259</v>
      </c>
      <c r="R1294" s="7">
        <v>24.200213829522017</v>
      </c>
      <c r="S1294" s="7">
        <v>39.667389617826693</v>
      </c>
      <c r="T1294" s="8">
        <v>0.41040232732641418</v>
      </c>
      <c r="U1294" s="7">
        <v>39.10245408800801</v>
      </c>
    </row>
    <row r="1295" spans="1:21" x14ac:dyDescent="0.3">
      <c r="A1295" s="4">
        <v>65289</v>
      </c>
      <c r="B1295" s="13">
        <f t="shared" si="37"/>
        <v>66.798116699999994</v>
      </c>
      <c r="C1295" s="12">
        <v>82.505403924733358</v>
      </c>
      <c r="D1295" s="5">
        <f t="shared" si="38"/>
        <v>10</v>
      </c>
      <c r="Q1295" s="4">
        <v>65289</v>
      </c>
      <c r="R1295" s="7">
        <v>202.50272915205099</v>
      </c>
      <c r="S1295" s="7">
        <v>206.91181282560825</v>
      </c>
      <c r="T1295" s="8">
        <v>0.6893703781902969</v>
      </c>
      <c r="U1295" s="7">
        <v>201.57744685629174</v>
      </c>
    </row>
    <row r="1296" spans="1:21" x14ac:dyDescent="0.3">
      <c r="A1296" s="4">
        <v>65320</v>
      </c>
      <c r="B1296" s="13">
        <f t="shared" si="37"/>
        <v>27.259584700000001</v>
      </c>
      <c r="C1296" s="12">
        <v>25.045942340511818</v>
      </c>
      <c r="D1296" s="5">
        <f t="shared" si="38"/>
        <v>11</v>
      </c>
      <c r="Q1296" s="4">
        <v>65320</v>
      </c>
      <c r="R1296" s="7">
        <v>54.282699210613046</v>
      </c>
      <c r="S1296" s="7">
        <v>96.930711410263243</v>
      </c>
      <c r="T1296" s="8">
        <v>5.2728180146034143E-2</v>
      </c>
      <c r="U1296" s="7">
        <v>97.556255271429805</v>
      </c>
    </row>
    <row r="1297" spans="1:21" x14ac:dyDescent="0.3">
      <c r="A1297" s="4">
        <v>65350</v>
      </c>
      <c r="B1297" s="13">
        <f t="shared" si="37"/>
        <v>40.889925599999998</v>
      </c>
      <c r="C1297" s="12">
        <v>110.73368259239936</v>
      </c>
      <c r="D1297" s="5">
        <f t="shared" si="38"/>
        <v>12</v>
      </c>
      <c r="Q1297" s="4">
        <v>65350</v>
      </c>
      <c r="R1297" s="7">
        <v>233.61871117768175</v>
      </c>
      <c r="S1297" s="7">
        <v>237.28932174831434</v>
      </c>
      <c r="T1297" s="8">
        <v>0.57016540660645409</v>
      </c>
      <c r="U1297" s="7">
        <v>235.56423938596336</v>
      </c>
    </row>
    <row r="1298" spans="1:21" x14ac:dyDescent="0.3">
      <c r="A1298" s="4">
        <v>65381</v>
      </c>
      <c r="B1298" s="13">
        <f t="shared" si="37"/>
        <v>140.9795426</v>
      </c>
      <c r="C1298" s="12">
        <v>56.69762783800261</v>
      </c>
      <c r="D1298" s="5">
        <f t="shared" si="38"/>
        <v>1</v>
      </c>
      <c r="Q1298" s="4">
        <v>65381</v>
      </c>
      <c r="R1298" s="7">
        <v>77.96079814830253</v>
      </c>
      <c r="S1298" s="7">
        <v>59.18420582359014</v>
      </c>
      <c r="T1298" s="8">
        <v>0.10403773196540145</v>
      </c>
      <c r="U1298" s="7">
        <v>57.529538477619795</v>
      </c>
    </row>
    <row r="1299" spans="1:21" x14ac:dyDescent="0.3">
      <c r="A1299" s="4">
        <v>65412</v>
      </c>
      <c r="B1299" s="13">
        <f t="shared" si="37"/>
        <v>185.0613275</v>
      </c>
      <c r="C1299" s="12">
        <v>127.42829066701229</v>
      </c>
      <c r="D1299" s="5">
        <f t="shared" si="38"/>
        <v>2</v>
      </c>
      <c r="Q1299" s="4">
        <v>65412</v>
      </c>
      <c r="R1299" s="7">
        <v>249.02293152519746</v>
      </c>
      <c r="S1299" s="7">
        <v>241.80565720746026</v>
      </c>
      <c r="T1299" s="8">
        <v>0.73994103499870834</v>
      </c>
      <c r="U1299" s="7">
        <v>240.34386068308288</v>
      </c>
    </row>
    <row r="1300" spans="1:21" x14ac:dyDescent="0.3">
      <c r="A1300" s="4">
        <v>65440</v>
      </c>
      <c r="B1300" s="13">
        <f t="shared" si="37"/>
        <v>173.38220820000001</v>
      </c>
      <c r="C1300" s="12">
        <v>35.563280247151944</v>
      </c>
      <c r="D1300" s="5">
        <f t="shared" si="38"/>
        <v>3</v>
      </c>
      <c r="Q1300" s="4">
        <v>65440</v>
      </c>
      <c r="R1300" s="7">
        <v>75.782925800925881</v>
      </c>
      <c r="S1300" s="7">
        <v>80.608889698614163</v>
      </c>
      <c r="T1300" s="8">
        <v>0.15868958467704716</v>
      </c>
      <c r="U1300" s="7">
        <v>80.795662923909873</v>
      </c>
    </row>
    <row r="1301" spans="1:21" x14ac:dyDescent="0.3">
      <c r="A1301" s="4">
        <v>65471</v>
      </c>
      <c r="B1301" s="13">
        <f t="shared" si="37"/>
        <v>202.8988627</v>
      </c>
      <c r="C1301" s="12">
        <v>68.496587395202468</v>
      </c>
      <c r="D1301" s="5">
        <f t="shared" si="38"/>
        <v>4</v>
      </c>
      <c r="Q1301" s="4">
        <v>65471</v>
      </c>
      <c r="R1301" s="7">
        <v>128.99357869684465</v>
      </c>
      <c r="S1301" s="7">
        <v>125.55705214342005</v>
      </c>
      <c r="T1301" s="8">
        <v>0.48405721293013598</v>
      </c>
      <c r="U1301" s="7">
        <v>126.30327862810041</v>
      </c>
    </row>
    <row r="1302" spans="1:21" x14ac:dyDescent="0.3">
      <c r="A1302" s="4">
        <v>65501</v>
      </c>
      <c r="B1302" s="13">
        <f t="shared" si="37"/>
        <v>247.25546840000001</v>
      </c>
      <c r="C1302" s="12">
        <v>1.4596265418731491</v>
      </c>
      <c r="D1302" s="5">
        <f t="shared" si="38"/>
        <v>5</v>
      </c>
      <c r="Q1302" s="4">
        <v>65501</v>
      </c>
      <c r="R1302" s="7">
        <v>2.4801943756989084</v>
      </c>
      <c r="S1302" s="7">
        <v>4.5374284155483764</v>
      </c>
      <c r="T1302" s="8">
        <v>5.0031079008253587E-4</v>
      </c>
      <c r="U1302" s="7">
        <v>5.2953753486168145</v>
      </c>
    </row>
    <row r="1303" spans="1:21" x14ac:dyDescent="0.3">
      <c r="A1303" s="4">
        <v>65532</v>
      </c>
      <c r="B1303" s="13">
        <f t="shared" si="37"/>
        <v>232.18461060000001</v>
      </c>
      <c r="C1303" s="12">
        <v>1.5435084010917432E-4</v>
      </c>
      <c r="D1303" s="5">
        <f t="shared" si="38"/>
        <v>6</v>
      </c>
      <c r="Q1303" s="4">
        <v>65532</v>
      </c>
      <c r="R1303" s="7">
        <v>1.5638456009133323E-4</v>
      </c>
      <c r="S1303" s="7">
        <v>1.7853276172463937E-2</v>
      </c>
      <c r="T1303" s="8">
        <v>5.1442819676906506E-4</v>
      </c>
      <c r="U1303" s="7">
        <v>0.26256071896111155</v>
      </c>
    </row>
    <row r="1304" spans="1:21" x14ac:dyDescent="0.3">
      <c r="A1304" s="4">
        <v>65562</v>
      </c>
      <c r="B1304" s="13">
        <f t="shared" si="37"/>
        <v>238.1788597</v>
      </c>
      <c r="C1304" s="12">
        <v>0</v>
      </c>
      <c r="D1304" s="5">
        <f t="shared" si="38"/>
        <v>7</v>
      </c>
      <c r="Q1304" s="4">
        <v>65562</v>
      </c>
      <c r="R1304" s="7">
        <v>0</v>
      </c>
      <c r="S1304" s="7">
        <v>0</v>
      </c>
      <c r="T1304" s="8">
        <v>0</v>
      </c>
      <c r="U1304" s="7">
        <v>0</v>
      </c>
    </row>
    <row r="1305" spans="1:21" x14ac:dyDescent="0.3">
      <c r="A1305" s="4">
        <v>65593</v>
      </c>
      <c r="B1305" s="13">
        <f t="shared" si="37"/>
        <v>52.807319</v>
      </c>
      <c r="C1305" s="12">
        <v>1.3113727623931482</v>
      </c>
      <c r="D1305" s="5">
        <f t="shared" si="38"/>
        <v>8</v>
      </c>
      <c r="Q1305" s="4">
        <v>65593</v>
      </c>
      <c r="R1305" s="7">
        <v>7.1323219664566793</v>
      </c>
      <c r="S1305" s="7">
        <v>30.025922109394585</v>
      </c>
      <c r="T1305" s="8">
        <v>0.34313332438395711</v>
      </c>
      <c r="U1305" s="7">
        <v>19.381304873938216</v>
      </c>
    </row>
    <row r="1306" spans="1:21" x14ac:dyDescent="0.3">
      <c r="A1306" s="4">
        <v>65624</v>
      </c>
      <c r="B1306" s="13">
        <f t="shared" si="37"/>
        <v>22.506163999999998</v>
      </c>
      <c r="C1306" s="12">
        <v>6.1350777104962519</v>
      </c>
      <c r="D1306" s="5">
        <f t="shared" si="38"/>
        <v>9</v>
      </c>
      <c r="Q1306" s="4">
        <v>65624</v>
      </c>
      <c r="R1306" s="7">
        <v>20.557637773977881</v>
      </c>
      <c r="S1306" s="7">
        <v>35.856960713612615</v>
      </c>
      <c r="T1306" s="8">
        <v>0.37249486347348831</v>
      </c>
      <c r="U1306" s="7">
        <v>35.720223972095162</v>
      </c>
    </row>
    <row r="1307" spans="1:21" x14ac:dyDescent="0.3">
      <c r="A1307" s="4">
        <v>65654</v>
      </c>
      <c r="B1307" s="13">
        <f t="shared" si="37"/>
        <v>12.8956769</v>
      </c>
      <c r="C1307" s="12">
        <v>27.824705667444551</v>
      </c>
      <c r="D1307" s="5">
        <f t="shared" si="38"/>
        <v>10</v>
      </c>
      <c r="Q1307" s="4">
        <v>65654</v>
      </c>
      <c r="R1307" s="7">
        <v>68.293451913165356</v>
      </c>
      <c r="S1307" s="7">
        <v>110.65109707659808</v>
      </c>
      <c r="T1307" s="8">
        <v>0.28872851147206985</v>
      </c>
      <c r="U1307" s="7">
        <v>111.89023658404226</v>
      </c>
    </row>
    <row r="1308" spans="1:21" x14ac:dyDescent="0.3">
      <c r="A1308" s="4">
        <v>65685</v>
      </c>
      <c r="B1308" s="13">
        <f t="shared" si="37"/>
        <v>74.901552199999998</v>
      </c>
      <c r="C1308" s="12">
        <v>44.357503065839488</v>
      </c>
      <c r="D1308" s="5">
        <f t="shared" si="38"/>
        <v>11</v>
      </c>
      <c r="Q1308" s="4">
        <v>65685</v>
      </c>
      <c r="R1308" s="7">
        <v>96.137129277109324</v>
      </c>
      <c r="S1308" s="7">
        <v>136.59778390793562</v>
      </c>
      <c r="T1308" s="8">
        <v>0.17690483951494124</v>
      </c>
      <c r="U1308" s="7">
        <v>134.17464668662447</v>
      </c>
    </row>
    <row r="1309" spans="1:21" x14ac:dyDescent="0.3">
      <c r="A1309" s="4">
        <v>65715</v>
      </c>
      <c r="B1309" s="13">
        <f t="shared" si="37"/>
        <v>42.695902099999998</v>
      </c>
      <c r="C1309" s="12">
        <v>56.004656717413987</v>
      </c>
      <c r="D1309" s="5">
        <f t="shared" si="38"/>
        <v>12</v>
      </c>
      <c r="Q1309" s="4">
        <v>65715</v>
      </c>
      <c r="R1309" s="7">
        <v>118.15497702203942</v>
      </c>
      <c r="S1309" s="7">
        <v>133.7517287136836</v>
      </c>
      <c r="T1309" s="8">
        <v>0.13953712225530282</v>
      </c>
      <c r="U1309" s="7">
        <v>132.13131829015066</v>
      </c>
    </row>
    <row r="1310" spans="1:21" x14ac:dyDescent="0.3">
      <c r="A1310" s="4">
        <v>65746</v>
      </c>
      <c r="B1310" s="13">
        <f t="shared" si="37"/>
        <v>7.3926724999999998</v>
      </c>
      <c r="C1310" s="12">
        <v>3.3214765451702917</v>
      </c>
      <c r="D1310" s="5">
        <f t="shared" si="38"/>
        <v>1</v>
      </c>
      <c r="Q1310" s="4">
        <v>65746</v>
      </c>
      <c r="R1310" s="7">
        <v>4.5671216304181925</v>
      </c>
      <c r="S1310" s="7">
        <v>1.4032479223827539</v>
      </c>
      <c r="T1310" s="8">
        <v>8.8503529220395686E-7</v>
      </c>
      <c r="U1310" s="7">
        <v>0.65913006504478944</v>
      </c>
    </row>
    <row r="1311" spans="1:21" x14ac:dyDescent="0.3">
      <c r="A1311" s="4">
        <v>65777</v>
      </c>
      <c r="B1311" s="13">
        <f t="shared" si="37"/>
        <v>197.41682779999999</v>
      </c>
      <c r="C1311" s="12">
        <v>43.485375522868729</v>
      </c>
      <c r="D1311" s="5">
        <f t="shared" si="38"/>
        <v>2</v>
      </c>
      <c r="Q1311" s="4">
        <v>65777</v>
      </c>
      <c r="R1311" s="7">
        <v>84.979996470925997</v>
      </c>
      <c r="S1311" s="7">
        <v>105.15588661088631</v>
      </c>
      <c r="T1311" s="8">
        <v>0.13477094173958812</v>
      </c>
      <c r="U1311" s="7">
        <v>106.15816970970832</v>
      </c>
    </row>
    <row r="1312" spans="1:21" x14ac:dyDescent="0.3">
      <c r="A1312" s="4">
        <v>65806</v>
      </c>
      <c r="B1312" s="13">
        <f t="shared" si="37"/>
        <v>148.2811413</v>
      </c>
      <c r="C1312" s="12">
        <v>59.74000471760511</v>
      </c>
      <c r="D1312" s="5">
        <f t="shared" si="38"/>
        <v>3</v>
      </c>
      <c r="Q1312" s="4">
        <v>65806</v>
      </c>
      <c r="R1312" s="7">
        <v>127.30187748144502</v>
      </c>
      <c r="S1312" s="7">
        <v>130.13668733890921</v>
      </c>
      <c r="T1312" s="8">
        <v>0.44555306868746075</v>
      </c>
      <c r="U1312" s="7">
        <v>129.80217029156225</v>
      </c>
    </row>
    <row r="1313" spans="1:21" x14ac:dyDescent="0.3">
      <c r="A1313" s="4">
        <v>65837</v>
      </c>
      <c r="B1313" s="13">
        <f t="shared" si="37"/>
        <v>279.74957339999997</v>
      </c>
      <c r="C1313" s="12">
        <v>3.9077537621778862</v>
      </c>
      <c r="D1313" s="5">
        <f t="shared" si="38"/>
        <v>4</v>
      </c>
      <c r="Q1313" s="4">
        <v>65837</v>
      </c>
      <c r="R1313" s="7">
        <v>7.3591278283841861</v>
      </c>
      <c r="S1313" s="7">
        <v>4.9194223453344019</v>
      </c>
      <c r="T1313" s="8">
        <v>1.2514281945058254E-5</v>
      </c>
      <c r="U1313" s="7">
        <v>4.2128258434420518</v>
      </c>
    </row>
    <row r="1314" spans="1:21" x14ac:dyDescent="0.3">
      <c r="A1314" s="4">
        <v>65867</v>
      </c>
      <c r="B1314" s="13">
        <f t="shared" si="37"/>
        <v>107.0054873</v>
      </c>
      <c r="C1314" s="12">
        <v>9.9797876428055954</v>
      </c>
      <c r="D1314" s="5">
        <f t="shared" si="38"/>
        <v>5</v>
      </c>
      <c r="Q1314" s="4">
        <v>65867</v>
      </c>
      <c r="R1314" s="7">
        <v>16.957634348435267</v>
      </c>
      <c r="S1314" s="7">
        <v>23.105325508735536</v>
      </c>
      <c r="T1314" s="8">
        <v>3.080451241023283E-2</v>
      </c>
      <c r="U1314" s="7">
        <v>23.723265610420967</v>
      </c>
    </row>
    <row r="1315" spans="1:21" x14ac:dyDescent="0.3">
      <c r="A1315" s="4">
        <v>65898</v>
      </c>
      <c r="B1315" s="13">
        <f t="shared" si="37"/>
        <v>170.1010191</v>
      </c>
      <c r="C1315" s="12">
        <v>8.2999175788245436E-2</v>
      </c>
      <c r="D1315" s="5">
        <f t="shared" si="38"/>
        <v>6</v>
      </c>
      <c r="Q1315" s="4">
        <v>65898</v>
      </c>
      <c r="R1315" s="7">
        <v>8.4092769332562281E-2</v>
      </c>
      <c r="S1315" s="7">
        <v>0.89530748238471747</v>
      </c>
      <c r="T1315" s="8">
        <v>2.3223554906839236E-2</v>
      </c>
      <c r="U1315" s="7">
        <v>2.6337476470126453</v>
      </c>
    </row>
    <row r="1316" spans="1:21" x14ac:dyDescent="0.3">
      <c r="A1316" s="4">
        <v>65928</v>
      </c>
      <c r="B1316" s="13">
        <f t="shared" si="37"/>
        <v>183.9758334</v>
      </c>
      <c r="C1316" s="12">
        <v>0</v>
      </c>
      <c r="D1316" s="5">
        <f t="shared" si="38"/>
        <v>7</v>
      </c>
      <c r="Q1316" s="4">
        <v>65928</v>
      </c>
      <c r="R1316" s="7">
        <v>0</v>
      </c>
      <c r="S1316" s="7">
        <v>0</v>
      </c>
      <c r="T1316" s="8">
        <v>0</v>
      </c>
      <c r="U1316" s="7">
        <v>0</v>
      </c>
    </row>
    <row r="1317" spans="1:21" x14ac:dyDescent="0.3">
      <c r="A1317" s="4">
        <v>65959</v>
      </c>
      <c r="B1317" s="13">
        <f t="shared" si="37"/>
        <v>88.179111899999995</v>
      </c>
      <c r="C1317" s="12">
        <v>3.4634229359653492</v>
      </c>
      <c r="D1317" s="5">
        <f t="shared" si="38"/>
        <v>8</v>
      </c>
      <c r="Q1317" s="4">
        <v>65959</v>
      </c>
      <c r="R1317" s="7">
        <v>18.836938049739544</v>
      </c>
      <c r="S1317" s="7">
        <v>39.582128691854116</v>
      </c>
      <c r="T1317" s="8">
        <v>0.54139814543919573</v>
      </c>
      <c r="U1317" s="7">
        <v>29.374782296355495</v>
      </c>
    </row>
    <row r="1318" spans="1:21" x14ac:dyDescent="0.3">
      <c r="A1318" s="4">
        <v>65990</v>
      </c>
      <c r="B1318" s="13">
        <f t="shared" si="37"/>
        <v>9.8212212000000001</v>
      </c>
      <c r="C1318" s="12">
        <v>41.230242757592443</v>
      </c>
      <c r="D1318" s="5">
        <f t="shared" si="38"/>
        <v>9</v>
      </c>
      <c r="Q1318" s="4">
        <v>65990</v>
      </c>
      <c r="R1318" s="7">
        <v>138.15577176693989</v>
      </c>
      <c r="S1318" s="7">
        <v>116.6291541934213</v>
      </c>
      <c r="T1318" s="8">
        <v>0.8850290869820534</v>
      </c>
      <c r="U1318" s="7">
        <v>114.57841002726421</v>
      </c>
    </row>
    <row r="1319" spans="1:21" x14ac:dyDescent="0.3">
      <c r="A1319" s="4">
        <v>66020</v>
      </c>
      <c r="B1319" s="13">
        <f t="shared" si="37"/>
        <v>23.3168866</v>
      </c>
      <c r="C1319" s="12">
        <v>23.941047250991673</v>
      </c>
      <c r="D1319" s="5">
        <f t="shared" si="38"/>
        <v>10</v>
      </c>
      <c r="Q1319" s="4">
        <v>66020</v>
      </c>
      <c r="R1319" s="7">
        <v>58.761331700245833</v>
      </c>
      <c r="S1319" s="7">
        <v>101.47525675331772</v>
      </c>
      <c r="T1319" s="8">
        <v>0.24895969303745596</v>
      </c>
      <c r="U1319" s="7">
        <v>103.78351792929033</v>
      </c>
    </row>
    <row r="1320" spans="1:21" x14ac:dyDescent="0.3">
      <c r="A1320" s="4">
        <v>66051</v>
      </c>
      <c r="B1320" s="13">
        <f t="shared" si="37"/>
        <v>5.416696</v>
      </c>
      <c r="C1320" s="12">
        <v>65.106772875878974</v>
      </c>
      <c r="D1320" s="5">
        <f t="shared" si="38"/>
        <v>11</v>
      </c>
      <c r="Q1320" s="4">
        <v>66051</v>
      </c>
      <c r="R1320" s="7">
        <v>141.10754231349145</v>
      </c>
      <c r="S1320" s="7">
        <v>171.9764289697149</v>
      </c>
      <c r="T1320" s="8">
        <v>0.34624181162514639</v>
      </c>
      <c r="U1320" s="7">
        <v>168.10099997784681</v>
      </c>
    </row>
    <row r="1321" spans="1:21" x14ac:dyDescent="0.3">
      <c r="A1321" s="4">
        <v>66081</v>
      </c>
      <c r="B1321" s="13">
        <f t="shared" si="37"/>
        <v>7.7626016</v>
      </c>
      <c r="C1321" s="12">
        <v>179.00572980288413</v>
      </c>
      <c r="D1321" s="5">
        <f t="shared" si="38"/>
        <v>12</v>
      </c>
      <c r="Q1321" s="4">
        <v>66081</v>
      </c>
      <c r="R1321" s="7">
        <v>377.65462965683525</v>
      </c>
      <c r="S1321" s="7">
        <v>355.3834696048861</v>
      </c>
      <c r="T1321" s="8">
        <v>0.89439721540706696</v>
      </c>
      <c r="U1321" s="7">
        <v>357.88655357120513</v>
      </c>
    </row>
    <row r="1322" spans="1:21" x14ac:dyDescent="0.3">
      <c r="A1322" s="4">
        <v>66112</v>
      </c>
      <c r="B1322" s="13">
        <f t="shared" si="37"/>
        <v>117.76550640000001</v>
      </c>
      <c r="C1322" s="12">
        <v>105.81798995845033</v>
      </c>
      <c r="D1322" s="5">
        <f t="shared" si="38"/>
        <v>1</v>
      </c>
      <c r="Q1322" s="4">
        <v>66112</v>
      </c>
      <c r="R1322" s="7">
        <v>145.50264746844258</v>
      </c>
      <c r="S1322" s="7">
        <v>134.77020303360518</v>
      </c>
      <c r="T1322" s="8">
        <v>0.46809089283401378</v>
      </c>
      <c r="U1322" s="7">
        <v>136.27315377889457</v>
      </c>
    </row>
    <row r="1323" spans="1:21" x14ac:dyDescent="0.3">
      <c r="A1323" s="4">
        <v>66143</v>
      </c>
      <c r="B1323" s="13">
        <f t="shared" si="37"/>
        <v>365.85562299999998</v>
      </c>
      <c r="C1323" s="12">
        <v>78.119394974782963</v>
      </c>
      <c r="D1323" s="5">
        <f t="shared" si="38"/>
        <v>2</v>
      </c>
      <c r="Q1323" s="4">
        <v>66143</v>
      </c>
      <c r="R1323" s="7">
        <v>152.66249467655473</v>
      </c>
      <c r="S1323" s="7">
        <v>165.53095083313173</v>
      </c>
      <c r="T1323" s="8">
        <v>0.41054862326886482</v>
      </c>
      <c r="U1323" s="7">
        <v>164.40917390011222</v>
      </c>
    </row>
    <row r="1324" spans="1:21" x14ac:dyDescent="0.3">
      <c r="A1324" s="4">
        <v>66171</v>
      </c>
      <c r="B1324" s="13">
        <f t="shared" si="37"/>
        <v>194.629075</v>
      </c>
      <c r="C1324" s="12">
        <v>81.150739802978975</v>
      </c>
      <c r="D1324" s="5">
        <f t="shared" si="38"/>
        <v>3</v>
      </c>
      <c r="Q1324" s="4">
        <v>66171</v>
      </c>
      <c r="R1324" s="7">
        <v>172.92669434428515</v>
      </c>
      <c r="S1324" s="7">
        <v>172.68003974535839</v>
      </c>
      <c r="T1324" s="8">
        <v>0.67147999742363473</v>
      </c>
      <c r="U1324" s="7">
        <v>172.22960616456328</v>
      </c>
    </row>
    <row r="1325" spans="1:21" x14ac:dyDescent="0.3">
      <c r="A1325" s="4">
        <v>66202</v>
      </c>
      <c r="B1325" s="13">
        <f t="shared" si="37"/>
        <v>340.71397519999999</v>
      </c>
      <c r="C1325" s="12">
        <v>2.3431494082615254</v>
      </c>
      <c r="D1325" s="5">
        <f t="shared" si="38"/>
        <v>4</v>
      </c>
      <c r="Q1325" s="4">
        <v>66202</v>
      </c>
      <c r="R1325" s="7">
        <v>4.4126465140395865</v>
      </c>
      <c r="S1325" s="7">
        <v>2.7583074949486042</v>
      </c>
      <c r="T1325" s="8">
        <v>1.1713979570236358E-6</v>
      </c>
      <c r="U1325" s="7">
        <v>2.2403166739044114</v>
      </c>
    </row>
    <row r="1326" spans="1:21" x14ac:dyDescent="0.3">
      <c r="A1326" s="4">
        <v>66232</v>
      </c>
      <c r="B1326" s="13">
        <f t="shared" si="37"/>
        <v>402.04359829999999</v>
      </c>
      <c r="C1326" s="12">
        <v>0.74207772240697556</v>
      </c>
      <c r="D1326" s="5">
        <f t="shared" si="38"/>
        <v>5</v>
      </c>
      <c r="Q1326" s="4">
        <v>66232</v>
      </c>
      <c r="R1326" s="7">
        <v>1.2609369182087589</v>
      </c>
      <c r="S1326" s="7">
        <v>2.5588943267541424</v>
      </c>
      <c r="T1326" s="8">
        <v>1.1097382644662596E-4</v>
      </c>
      <c r="U1326" s="7">
        <v>3.159471869619686</v>
      </c>
    </row>
    <row r="1327" spans="1:21" x14ac:dyDescent="0.3">
      <c r="A1327" s="4">
        <v>66263</v>
      </c>
      <c r="B1327" s="13">
        <f t="shared" si="37"/>
        <v>131.82575180000001</v>
      </c>
      <c r="C1327" s="12">
        <v>1.0091410906909469E-4</v>
      </c>
      <c r="D1327" s="5">
        <f t="shared" si="38"/>
        <v>6</v>
      </c>
      <c r="Q1327" s="4">
        <v>66263</v>
      </c>
      <c r="R1327" s="7">
        <v>1.0224374899817069E-4</v>
      </c>
      <c r="S1327" s="7">
        <v>1.3702469229088693E-2</v>
      </c>
      <c r="T1327" s="8">
        <v>3.9762420457093665E-4</v>
      </c>
      <c r="U1327" s="7">
        <v>0.22523171147700483</v>
      </c>
    </row>
    <row r="1328" spans="1:21" x14ac:dyDescent="0.3">
      <c r="A1328" s="4">
        <v>66293</v>
      </c>
      <c r="B1328" s="13">
        <f t="shared" si="37"/>
        <v>85.075311400000004</v>
      </c>
      <c r="C1328" s="12">
        <v>0</v>
      </c>
      <c r="D1328" s="5">
        <f t="shared" si="38"/>
        <v>7</v>
      </c>
      <c r="Q1328" s="4">
        <v>66293</v>
      </c>
      <c r="R1328" s="7">
        <v>0</v>
      </c>
      <c r="S1328" s="7">
        <v>0</v>
      </c>
      <c r="T1328" s="8">
        <v>0</v>
      </c>
      <c r="U1328" s="7">
        <v>0</v>
      </c>
    </row>
    <row r="1329" spans="1:21" x14ac:dyDescent="0.3">
      <c r="A1329" s="4">
        <v>66324</v>
      </c>
      <c r="B1329" s="13">
        <f t="shared" si="37"/>
        <v>104.9186133</v>
      </c>
      <c r="C1329" s="12">
        <v>0</v>
      </c>
      <c r="D1329" s="5">
        <f t="shared" si="38"/>
        <v>8</v>
      </c>
      <c r="Q1329" s="4">
        <v>66324</v>
      </c>
      <c r="R1329" s="7">
        <v>0</v>
      </c>
      <c r="S1329" s="7">
        <v>0</v>
      </c>
      <c r="T1329" s="8">
        <v>0</v>
      </c>
      <c r="U1329" s="7">
        <v>0</v>
      </c>
    </row>
    <row r="1330" spans="1:21" x14ac:dyDescent="0.3">
      <c r="A1330" s="4">
        <v>66355</v>
      </c>
      <c r="B1330" s="13">
        <f t="shared" si="37"/>
        <v>106.8214758</v>
      </c>
      <c r="C1330" s="12">
        <v>2.2501482098108715E-11</v>
      </c>
      <c r="D1330" s="5">
        <f t="shared" si="38"/>
        <v>9</v>
      </c>
      <c r="Q1330" s="4">
        <v>66355</v>
      </c>
      <c r="R1330" s="7">
        <v>7.5398770835316781E-11</v>
      </c>
      <c r="S1330" s="7">
        <v>2.9846001814771348E-6</v>
      </c>
      <c r="T1330" s="8">
        <v>4.5357734646778284E-9</v>
      </c>
      <c r="U1330" s="7">
        <v>3.8734435296813196E-4</v>
      </c>
    </row>
    <row r="1331" spans="1:21" x14ac:dyDescent="0.3">
      <c r="A1331" s="4">
        <v>66385</v>
      </c>
      <c r="B1331" s="13">
        <f t="shared" si="37"/>
        <v>30.235095699999999</v>
      </c>
      <c r="C1331" s="12">
        <v>78.018630773294674</v>
      </c>
      <c r="D1331" s="5">
        <f t="shared" si="38"/>
        <v>10</v>
      </c>
      <c r="Q1331" s="4">
        <v>66385</v>
      </c>
      <c r="R1331" s="7">
        <v>191.49031341887851</v>
      </c>
      <c r="S1331" s="7">
        <v>200.35555110075774</v>
      </c>
      <c r="T1331" s="8">
        <v>0.66664462840049499</v>
      </c>
      <c r="U1331" s="7">
        <v>195.14372504839531</v>
      </c>
    </row>
    <row r="1332" spans="1:21" x14ac:dyDescent="0.3">
      <c r="A1332" s="4">
        <v>66416</v>
      </c>
      <c r="B1332" s="13">
        <f t="shared" si="37"/>
        <v>15.7929402</v>
      </c>
      <c r="C1332" s="12">
        <v>20.694280858151625</v>
      </c>
      <c r="D1332" s="5">
        <f t="shared" si="38"/>
        <v>11</v>
      </c>
      <c r="Q1332" s="4">
        <v>66416</v>
      </c>
      <c r="R1332" s="7">
        <v>44.851234101341312</v>
      </c>
      <c r="S1332" s="7">
        <v>86.439917513017022</v>
      </c>
      <c r="T1332" s="8">
        <v>3.3793870049799175E-2</v>
      </c>
      <c r="U1332" s="7">
        <v>88.062399209969485</v>
      </c>
    </row>
    <row r="1333" spans="1:21" x14ac:dyDescent="0.3">
      <c r="A1333" s="4">
        <v>66446</v>
      </c>
      <c r="B1333" s="13">
        <f t="shared" si="37"/>
        <v>41.717884300000001</v>
      </c>
      <c r="C1333" s="12">
        <v>134.524794621393</v>
      </c>
      <c r="D1333" s="5">
        <f t="shared" si="38"/>
        <v>12</v>
      </c>
      <c r="Q1333" s="4">
        <v>66446</v>
      </c>
      <c r="R1333" s="7">
        <v>283.8116497630985</v>
      </c>
      <c r="S1333" s="7">
        <v>279.48632497625857</v>
      </c>
      <c r="T1333" s="8">
        <v>0.72253937966854731</v>
      </c>
      <c r="U1333" s="7">
        <v>278.75898239384526</v>
      </c>
    </row>
    <row r="1334" spans="1:21" x14ac:dyDescent="0.3">
      <c r="A1334" s="4">
        <v>66477</v>
      </c>
      <c r="B1334" s="13">
        <f t="shared" si="37"/>
        <v>136.0408821</v>
      </c>
      <c r="C1334" s="12">
        <v>156.60676691913972</v>
      </c>
      <c r="D1334" s="5">
        <f t="shared" si="38"/>
        <v>1</v>
      </c>
      <c r="Q1334" s="4">
        <v>66477</v>
      </c>
      <c r="R1334" s="7">
        <v>215.33861309551799</v>
      </c>
      <c r="S1334" s="7">
        <v>226.00661238911405</v>
      </c>
      <c r="T1334" s="8">
        <v>0.78566679381486038</v>
      </c>
      <c r="U1334" s="7">
        <v>227.82912840147952</v>
      </c>
    </row>
    <row r="1335" spans="1:21" x14ac:dyDescent="0.3">
      <c r="A1335" s="4">
        <v>66508</v>
      </c>
      <c r="B1335" s="13">
        <f t="shared" si="37"/>
        <v>88.018713199999993</v>
      </c>
      <c r="C1335" s="12">
        <v>9.9324832786806017</v>
      </c>
      <c r="D1335" s="5">
        <f t="shared" si="38"/>
        <v>2</v>
      </c>
      <c r="Q1335" s="4">
        <v>66508</v>
      </c>
      <c r="R1335" s="7">
        <v>19.410258824278088</v>
      </c>
      <c r="S1335" s="7">
        <v>33.508600582523549</v>
      </c>
      <c r="T1335" s="8">
        <v>2.6397141584014977E-3</v>
      </c>
      <c r="U1335" s="7">
        <v>37.726467953391534</v>
      </c>
    </row>
    <row r="1336" spans="1:21" x14ac:dyDescent="0.3">
      <c r="A1336" s="4">
        <v>66536</v>
      </c>
      <c r="B1336" s="13">
        <f t="shared" si="37"/>
        <v>178.457222</v>
      </c>
      <c r="C1336" s="12">
        <v>71.165521728107748</v>
      </c>
      <c r="D1336" s="5">
        <f t="shared" si="38"/>
        <v>3</v>
      </c>
      <c r="Q1336" s="4">
        <v>66536</v>
      </c>
      <c r="R1336" s="7">
        <v>151.6488753350381</v>
      </c>
      <c r="S1336" s="7">
        <v>152.96253784385746</v>
      </c>
      <c r="T1336" s="8">
        <v>0.574458262428717</v>
      </c>
      <c r="U1336" s="7">
        <v>152.52562792690938</v>
      </c>
    </row>
    <row r="1337" spans="1:21" x14ac:dyDescent="0.3">
      <c r="A1337" s="4">
        <v>66567</v>
      </c>
      <c r="B1337" s="13">
        <f t="shared" si="37"/>
        <v>373.12640429999999</v>
      </c>
      <c r="C1337" s="12">
        <v>15.917199940304284</v>
      </c>
      <c r="D1337" s="5">
        <f t="shared" si="38"/>
        <v>4</v>
      </c>
      <c r="Q1337" s="4">
        <v>66567</v>
      </c>
      <c r="R1337" s="7">
        <v>29.975458066059215</v>
      </c>
      <c r="S1337" s="7">
        <v>24.092438556318857</v>
      </c>
      <c r="T1337" s="8">
        <v>5.6119600821239474E-3</v>
      </c>
      <c r="U1337" s="7">
        <v>23.161250581430235</v>
      </c>
    </row>
    <row r="1338" spans="1:21" x14ac:dyDescent="0.3">
      <c r="A1338" s="4">
        <v>66597</v>
      </c>
      <c r="B1338" s="13">
        <f t="shared" si="37"/>
        <v>225.73365720000001</v>
      </c>
      <c r="C1338" s="12">
        <v>62.898032687371717</v>
      </c>
      <c r="D1338" s="5">
        <f t="shared" si="38"/>
        <v>5</v>
      </c>
      <c r="Q1338" s="4">
        <v>66597</v>
      </c>
      <c r="R1338" s="7">
        <v>106.87620595988228</v>
      </c>
      <c r="S1338" s="7">
        <v>109.81747738306109</v>
      </c>
      <c r="T1338" s="8">
        <v>0.59442176466132546</v>
      </c>
      <c r="U1338" s="7">
        <v>108.61886023753097</v>
      </c>
    </row>
    <row r="1339" spans="1:21" x14ac:dyDescent="0.3">
      <c r="A1339" s="4">
        <v>66628</v>
      </c>
      <c r="B1339" s="13">
        <f t="shared" si="37"/>
        <v>260.26605640000002</v>
      </c>
      <c r="C1339" s="12">
        <v>43.954381195362664</v>
      </c>
      <c r="D1339" s="5">
        <f t="shared" si="38"/>
        <v>6</v>
      </c>
      <c r="Q1339" s="4">
        <v>66628</v>
      </c>
      <c r="R1339" s="7">
        <v>44.533522217706384</v>
      </c>
      <c r="S1339" s="7">
        <v>44.472771000770756</v>
      </c>
      <c r="T1339" s="8">
        <v>0.76978043667371676</v>
      </c>
      <c r="U1339" s="7">
        <v>43.275652473955716</v>
      </c>
    </row>
    <row r="1340" spans="1:21" x14ac:dyDescent="0.3">
      <c r="A1340" s="4">
        <v>66658</v>
      </c>
      <c r="B1340" s="13">
        <f t="shared" si="37"/>
        <v>122.1456034</v>
      </c>
      <c r="C1340" s="12">
        <v>12.56496136193163</v>
      </c>
      <c r="D1340" s="5">
        <f t="shared" si="38"/>
        <v>7</v>
      </c>
      <c r="Q1340" s="4">
        <v>66658</v>
      </c>
      <c r="R1340" s="7">
        <v>45.46866061495691</v>
      </c>
      <c r="S1340" s="7">
        <v>43.604400603790829</v>
      </c>
      <c r="T1340" s="8">
        <v>0.81585260552866812</v>
      </c>
      <c r="U1340" s="7">
        <v>42.508614735801949</v>
      </c>
    </row>
    <row r="1341" spans="1:21" x14ac:dyDescent="0.3">
      <c r="A1341" s="4">
        <v>66689</v>
      </c>
      <c r="B1341" s="13">
        <f t="shared" si="37"/>
        <v>319.44285889999998</v>
      </c>
      <c r="C1341" s="12">
        <v>1.0884390471801462</v>
      </c>
      <c r="D1341" s="5">
        <f t="shared" si="38"/>
        <v>8</v>
      </c>
      <c r="Q1341" s="4">
        <v>66689</v>
      </c>
      <c r="R1341" s="7">
        <v>5.9198253524689006</v>
      </c>
      <c r="S1341" s="7">
        <v>28.475592720470772</v>
      </c>
      <c r="T1341" s="8">
        <v>0.31269737662046859</v>
      </c>
      <c r="U1341" s="7">
        <v>17.990400159429239</v>
      </c>
    </row>
    <row r="1342" spans="1:21" x14ac:dyDescent="0.3">
      <c r="A1342" s="4">
        <v>66720</v>
      </c>
      <c r="B1342" s="13">
        <f t="shared" si="37"/>
        <v>29.1984888</v>
      </c>
      <c r="C1342" s="12">
        <v>1.2263828721188463</v>
      </c>
      <c r="D1342" s="5">
        <f t="shared" si="38"/>
        <v>9</v>
      </c>
      <c r="Q1342" s="4">
        <v>66720</v>
      </c>
      <c r="R1342" s="7">
        <v>4.10940758160186</v>
      </c>
      <c r="S1342" s="7">
        <v>13.23452864254832</v>
      </c>
      <c r="T1342" s="8">
        <v>0.13123346061339397</v>
      </c>
      <c r="U1342" s="7">
        <v>15.580807008770311</v>
      </c>
    </row>
    <row r="1343" spans="1:21" x14ac:dyDescent="0.3">
      <c r="A1343" s="4">
        <v>66750</v>
      </c>
      <c r="B1343" s="13">
        <f t="shared" si="37"/>
        <v>19.3253485</v>
      </c>
      <c r="C1343" s="12">
        <v>27.310677545028813</v>
      </c>
      <c r="D1343" s="5">
        <f t="shared" si="38"/>
        <v>10</v>
      </c>
      <c r="Q1343" s="4">
        <v>66750</v>
      </c>
      <c r="R1343" s="7">
        <v>67.03181215748279</v>
      </c>
      <c r="S1343" s="7">
        <v>109.46932901156056</v>
      </c>
      <c r="T1343" s="8">
        <v>0.2835461248623603</v>
      </c>
      <c r="U1343" s="7">
        <v>110.84320899329097</v>
      </c>
    </row>
    <row r="1344" spans="1:21" x14ac:dyDescent="0.3">
      <c r="A1344" s="4">
        <v>66781</v>
      </c>
      <c r="B1344" s="13">
        <f t="shared" ref="B1344:B1407" si="39">B963</f>
        <v>33.942540899999997</v>
      </c>
      <c r="C1344" s="12">
        <v>6.7663114386959977</v>
      </c>
      <c r="D1344" s="5">
        <f t="shared" si="38"/>
        <v>11</v>
      </c>
      <c r="Q1344" s="4">
        <v>66781</v>
      </c>
      <c r="R1344" s="7">
        <v>14.664796540634356</v>
      </c>
      <c r="S1344" s="7">
        <v>44.190451932734675</v>
      </c>
      <c r="T1344" s="8">
        <v>1.970447410399903E-3</v>
      </c>
      <c r="U1344" s="7">
        <v>49.957656009042616</v>
      </c>
    </row>
    <row r="1345" spans="1:21" x14ac:dyDescent="0.3">
      <c r="A1345" s="4">
        <v>66811</v>
      </c>
      <c r="B1345" s="13">
        <f t="shared" si="39"/>
        <v>23.671156</v>
      </c>
      <c r="C1345" s="12">
        <v>26.784527933341359</v>
      </c>
      <c r="D1345" s="5">
        <f t="shared" si="38"/>
        <v>12</v>
      </c>
      <c r="Q1345" s="4">
        <v>66811</v>
      </c>
      <c r="R1345" s="7">
        <v>56.508252491905502</v>
      </c>
      <c r="S1345" s="7">
        <v>71.927943073721565</v>
      </c>
      <c r="T1345" s="8">
        <v>1.4303801850784869E-2</v>
      </c>
      <c r="U1345" s="7">
        <v>72.00165706467034</v>
      </c>
    </row>
    <row r="1346" spans="1:21" x14ac:dyDescent="0.3">
      <c r="A1346" s="4">
        <v>66842</v>
      </c>
      <c r="B1346" s="13">
        <f t="shared" si="39"/>
        <v>219.49936270000001</v>
      </c>
      <c r="C1346" s="12">
        <v>70.86858421680526</v>
      </c>
      <c r="D1346" s="5">
        <f t="shared" si="38"/>
        <v>1</v>
      </c>
      <c r="Q1346" s="4">
        <v>66842</v>
      </c>
      <c r="R1346" s="7">
        <v>97.446253041985685</v>
      </c>
      <c r="S1346" s="7">
        <v>79.429712405031268</v>
      </c>
      <c r="T1346" s="8">
        <v>0.19403930992558976</v>
      </c>
      <c r="U1346" s="7">
        <v>78.801338446014</v>
      </c>
    </row>
    <row r="1347" spans="1:21" x14ac:dyDescent="0.3">
      <c r="A1347" s="4">
        <v>66873</v>
      </c>
      <c r="B1347" s="13">
        <f t="shared" si="39"/>
        <v>249.34859309999999</v>
      </c>
      <c r="C1347" s="12">
        <v>26.632417214568694</v>
      </c>
      <c r="D1347" s="5">
        <f t="shared" ref="D1347:D1410" si="40">MONTH(A1347)</f>
        <v>2</v>
      </c>
      <c r="Q1347" s="4">
        <v>66873</v>
      </c>
      <c r="R1347" s="7">
        <v>52.045605992664356</v>
      </c>
      <c r="S1347" s="7">
        <v>71.931095187595602</v>
      </c>
      <c r="T1347" s="8">
        <v>4.1492735192856116E-2</v>
      </c>
      <c r="U1347" s="7">
        <v>74.568066087170209</v>
      </c>
    </row>
    <row r="1348" spans="1:21" x14ac:dyDescent="0.3">
      <c r="A1348" s="4">
        <v>66901</v>
      </c>
      <c r="B1348" s="13">
        <f t="shared" si="39"/>
        <v>182.74890590000001</v>
      </c>
      <c r="C1348" s="12">
        <v>58.958957920549501</v>
      </c>
      <c r="D1348" s="5">
        <f t="shared" si="40"/>
        <v>3</v>
      </c>
      <c r="Q1348" s="4">
        <v>66901</v>
      </c>
      <c r="R1348" s="7">
        <v>125.6375200021302</v>
      </c>
      <c r="S1348" s="7">
        <v>128.5647414286928</v>
      </c>
      <c r="T1348" s="8">
        <v>0.4362135851745147</v>
      </c>
      <c r="U1348" s="7">
        <v>128.24066057217905</v>
      </c>
    </row>
    <row r="1349" spans="1:21" x14ac:dyDescent="0.3">
      <c r="A1349" s="4">
        <v>66932</v>
      </c>
      <c r="B1349" s="13">
        <f t="shared" si="39"/>
        <v>157.57980079999999</v>
      </c>
      <c r="C1349" s="12">
        <v>58.913271466735829</v>
      </c>
      <c r="D1349" s="5">
        <f t="shared" si="40"/>
        <v>4</v>
      </c>
      <c r="Q1349" s="4">
        <v>66932</v>
      </c>
      <c r="R1349" s="7">
        <v>110.94616546933591</v>
      </c>
      <c r="S1349" s="7">
        <v>105.87591626930204</v>
      </c>
      <c r="T1349" s="8">
        <v>0.36288277176987965</v>
      </c>
      <c r="U1349" s="7">
        <v>106.47305644965728</v>
      </c>
    </row>
    <row r="1350" spans="1:21" x14ac:dyDescent="0.3">
      <c r="A1350" s="4">
        <v>66962</v>
      </c>
      <c r="B1350" s="13">
        <f t="shared" si="39"/>
        <v>167.8532773</v>
      </c>
      <c r="C1350" s="12">
        <v>11.37427473004208</v>
      </c>
      <c r="D1350" s="5">
        <f t="shared" si="40"/>
        <v>5</v>
      </c>
      <c r="Q1350" s="4">
        <v>66962</v>
      </c>
      <c r="R1350" s="7">
        <v>19.327143898672851</v>
      </c>
      <c r="S1350" s="7">
        <v>25.811150379724626</v>
      </c>
      <c r="T1350" s="8">
        <v>3.9978903132905794E-2</v>
      </c>
      <c r="U1350" s="7">
        <v>26.340561217410187</v>
      </c>
    </row>
    <row r="1351" spans="1:21" x14ac:dyDescent="0.3">
      <c r="A1351" s="4">
        <v>66993</v>
      </c>
      <c r="B1351" s="13">
        <f t="shared" si="39"/>
        <v>197.7955997</v>
      </c>
      <c r="C1351" s="12">
        <v>1.1771864456022731</v>
      </c>
      <c r="D1351" s="5">
        <f t="shared" si="40"/>
        <v>6</v>
      </c>
      <c r="Q1351" s="4">
        <v>66993</v>
      </c>
      <c r="R1351" s="7">
        <v>1.1926970032089219</v>
      </c>
      <c r="S1351" s="7">
        <v>4.6682215516415742</v>
      </c>
      <c r="T1351" s="8">
        <v>0.11491040276254894</v>
      </c>
      <c r="U1351" s="7">
        <v>7.4856801299494897</v>
      </c>
    </row>
    <row r="1352" spans="1:21" x14ac:dyDescent="0.3">
      <c r="A1352" s="4">
        <v>67023</v>
      </c>
      <c r="B1352" s="13">
        <f t="shared" si="39"/>
        <v>101.5655333</v>
      </c>
      <c r="C1352" s="12">
        <v>4.1622025429433156E-2</v>
      </c>
      <c r="D1352" s="5">
        <f t="shared" si="40"/>
        <v>7</v>
      </c>
      <c r="Q1352" s="4">
        <v>67023</v>
      </c>
      <c r="R1352" s="7">
        <v>0.15061707663437382</v>
      </c>
      <c r="S1352" s="7">
        <v>0.69680695801045422</v>
      </c>
      <c r="T1352" s="8">
        <v>2.9631576464393895E-2</v>
      </c>
      <c r="U1352" s="7">
        <v>1.60687933172977</v>
      </c>
    </row>
    <row r="1353" spans="1:21" x14ac:dyDescent="0.3">
      <c r="A1353" s="4">
        <v>67054</v>
      </c>
      <c r="B1353" s="13">
        <f t="shared" si="39"/>
        <v>38.190784100000002</v>
      </c>
      <c r="C1353" s="12">
        <v>0</v>
      </c>
      <c r="D1353" s="5">
        <f t="shared" si="40"/>
        <v>8</v>
      </c>
      <c r="Q1353" s="4">
        <v>67054</v>
      </c>
      <c r="R1353" s="7">
        <v>0</v>
      </c>
      <c r="S1353" s="7">
        <v>0</v>
      </c>
      <c r="T1353" s="8">
        <v>0</v>
      </c>
      <c r="U1353" s="7">
        <v>0</v>
      </c>
    </row>
    <row r="1354" spans="1:21" x14ac:dyDescent="0.3">
      <c r="A1354" s="4">
        <v>67085</v>
      </c>
      <c r="B1354" s="13">
        <f t="shared" si="39"/>
        <v>20.4649234</v>
      </c>
      <c r="C1354" s="12">
        <v>32.165399141376824</v>
      </c>
      <c r="D1354" s="5">
        <f t="shared" si="40"/>
        <v>9</v>
      </c>
      <c r="Q1354" s="4">
        <v>67085</v>
      </c>
      <c r="R1354" s="7">
        <v>107.78096963181864</v>
      </c>
      <c r="S1354" s="7">
        <v>100.01206374411527</v>
      </c>
      <c r="T1354" s="8">
        <v>0.82692674123282528</v>
      </c>
      <c r="U1354" s="7">
        <v>96.927611265655216</v>
      </c>
    </row>
    <row r="1355" spans="1:21" x14ac:dyDescent="0.3">
      <c r="A1355" s="4">
        <v>67115</v>
      </c>
      <c r="B1355" s="13">
        <f t="shared" si="39"/>
        <v>1.6851940999999999</v>
      </c>
      <c r="C1355" s="12">
        <v>38.41221998445679</v>
      </c>
      <c r="D1355" s="5">
        <f t="shared" si="40"/>
        <v>10</v>
      </c>
      <c r="Q1355" s="4">
        <v>67115</v>
      </c>
      <c r="R1355" s="7">
        <v>94.279635146536151</v>
      </c>
      <c r="S1355" s="7">
        <v>133.22834882301495</v>
      </c>
      <c r="T1355" s="8">
        <v>0.38951080449937886</v>
      </c>
      <c r="U1355" s="7">
        <v>132.09607527011065</v>
      </c>
    </row>
    <row r="1356" spans="1:21" x14ac:dyDescent="0.3">
      <c r="A1356" s="4">
        <v>67146</v>
      </c>
      <c r="B1356" s="13">
        <f t="shared" si="39"/>
        <v>2.5017209</v>
      </c>
      <c r="C1356" s="12">
        <v>118.10972448438402</v>
      </c>
      <c r="D1356" s="5">
        <f t="shared" si="40"/>
        <v>11</v>
      </c>
      <c r="Q1356" s="4">
        <v>67146</v>
      </c>
      <c r="R1356" s="7">
        <v>255.98216912221719</v>
      </c>
      <c r="S1356" s="7">
        <v>245.87303953461489</v>
      </c>
      <c r="T1356" s="8">
        <v>0.7150271319630831</v>
      </c>
      <c r="U1356" s="7">
        <v>243.54527325108953</v>
      </c>
    </row>
    <row r="1357" spans="1:21" x14ac:dyDescent="0.3">
      <c r="A1357" s="4">
        <v>67176</v>
      </c>
      <c r="B1357" s="13">
        <f t="shared" si="39"/>
        <v>36.899288900000002</v>
      </c>
      <c r="C1357" s="12">
        <v>42.591858567902811</v>
      </c>
      <c r="D1357" s="5">
        <f t="shared" si="40"/>
        <v>12</v>
      </c>
      <c r="Q1357" s="4">
        <v>67176</v>
      </c>
      <c r="R1357" s="7">
        <v>89.857529094571376</v>
      </c>
      <c r="S1357" s="7">
        <v>106.24491688938562</v>
      </c>
      <c r="T1357" s="8">
        <v>6.4322507140907023E-2</v>
      </c>
      <c r="U1357" s="7">
        <v>105.25300898550887</v>
      </c>
    </row>
    <row r="1358" spans="1:21" x14ac:dyDescent="0.3">
      <c r="A1358" s="4">
        <v>67207</v>
      </c>
      <c r="B1358" s="13">
        <f t="shared" si="39"/>
        <v>155.0838957</v>
      </c>
      <c r="C1358" s="12">
        <v>112.72083705989648</v>
      </c>
      <c r="D1358" s="5">
        <f t="shared" si="40"/>
        <v>1</v>
      </c>
      <c r="Q1358" s="4">
        <v>67207</v>
      </c>
      <c r="R1358" s="7">
        <v>154.99425214478026</v>
      </c>
      <c r="S1358" s="7">
        <v>146.4832562556698</v>
      </c>
      <c r="T1358" s="8">
        <v>0.52105251073096859</v>
      </c>
      <c r="U1358" s="7">
        <v>148.25551535470163</v>
      </c>
    </row>
    <row r="1359" spans="1:21" x14ac:dyDescent="0.3">
      <c r="A1359" s="4">
        <v>67238</v>
      </c>
      <c r="B1359" s="13">
        <f t="shared" si="39"/>
        <v>301.68988339999999</v>
      </c>
      <c r="C1359" s="12">
        <v>222.81423665117461</v>
      </c>
      <c r="D1359" s="5">
        <f t="shared" si="40"/>
        <v>2</v>
      </c>
      <c r="Q1359" s="4">
        <v>67238</v>
      </c>
      <c r="R1359" s="7">
        <v>435.42806786459056</v>
      </c>
      <c r="S1359" s="7">
        <v>372.75246559922601</v>
      </c>
      <c r="T1359" s="8">
        <v>0.96675503451569655</v>
      </c>
      <c r="U1359" s="7">
        <v>377.22241608755945</v>
      </c>
    </row>
    <row r="1360" spans="1:21" x14ac:dyDescent="0.3">
      <c r="A1360" s="4">
        <v>67267</v>
      </c>
      <c r="B1360" s="13">
        <f t="shared" si="39"/>
        <v>262.92180359999998</v>
      </c>
      <c r="C1360" s="12">
        <v>57.28034602361739</v>
      </c>
      <c r="D1360" s="5">
        <f t="shared" si="40"/>
        <v>3</v>
      </c>
      <c r="Q1360" s="4">
        <v>67267</v>
      </c>
      <c r="R1360" s="7">
        <v>122.06051248342851</v>
      </c>
      <c r="S1360" s="7">
        <v>125.1809150276397</v>
      </c>
      <c r="T1360" s="8">
        <v>0.41598341565471014</v>
      </c>
      <c r="U1360" s="7">
        <v>124.88075556091201</v>
      </c>
    </row>
    <row r="1361" spans="1:21" x14ac:dyDescent="0.3">
      <c r="A1361" s="4">
        <v>67298</v>
      </c>
      <c r="B1361" s="13">
        <f t="shared" si="39"/>
        <v>31.209526700000001</v>
      </c>
      <c r="C1361" s="12">
        <v>102.9952451353892</v>
      </c>
      <c r="D1361" s="5">
        <f t="shared" si="40"/>
        <v>4</v>
      </c>
      <c r="Q1361" s="4">
        <v>67298</v>
      </c>
      <c r="R1361" s="7">
        <v>193.96185655379338</v>
      </c>
      <c r="S1361" s="7">
        <v>199.17375152288332</v>
      </c>
      <c r="T1361" s="8">
        <v>0.81156886185379229</v>
      </c>
      <c r="U1361" s="7">
        <v>199.47048004550399</v>
      </c>
    </row>
    <row r="1362" spans="1:21" x14ac:dyDescent="0.3">
      <c r="A1362" s="4">
        <v>67328</v>
      </c>
      <c r="B1362" s="13">
        <f t="shared" si="39"/>
        <v>211.0095087</v>
      </c>
      <c r="C1362" s="12">
        <v>30.528133941698009</v>
      </c>
      <c r="D1362" s="5">
        <f t="shared" si="40"/>
        <v>5</v>
      </c>
      <c r="Q1362" s="4">
        <v>67328</v>
      </c>
      <c r="R1362" s="7">
        <v>51.873341523110319</v>
      </c>
      <c r="S1362" s="7">
        <v>59.546671428966306</v>
      </c>
      <c r="T1362" s="8">
        <v>0.23515366303254265</v>
      </c>
      <c r="U1362" s="7">
        <v>58.961930206966507</v>
      </c>
    </row>
    <row r="1363" spans="1:21" x14ac:dyDescent="0.3">
      <c r="A1363" s="4">
        <v>67359</v>
      </c>
      <c r="B1363" s="13">
        <f t="shared" si="39"/>
        <v>146.7957203</v>
      </c>
      <c r="C1363" s="12">
        <v>4.9620333084021651</v>
      </c>
      <c r="D1363" s="5">
        <f t="shared" si="40"/>
        <v>6</v>
      </c>
      <c r="Q1363" s="4">
        <v>67359</v>
      </c>
      <c r="R1363" s="7">
        <v>5.0274128442977766</v>
      </c>
      <c r="S1363" s="7">
        <v>11.434251722042058</v>
      </c>
      <c r="T1363" s="8">
        <v>0.26711413944587209</v>
      </c>
      <c r="U1363" s="7">
        <v>13.996544447909891</v>
      </c>
    </row>
    <row r="1364" spans="1:21" x14ac:dyDescent="0.3">
      <c r="A1364" s="4">
        <v>67389</v>
      </c>
      <c r="B1364" s="13">
        <f t="shared" si="39"/>
        <v>134.37596919999999</v>
      </c>
      <c r="C1364" s="12">
        <v>0</v>
      </c>
      <c r="D1364" s="5">
        <f t="shared" si="40"/>
        <v>7</v>
      </c>
      <c r="Q1364" s="4">
        <v>67389</v>
      </c>
      <c r="R1364" s="7">
        <v>0</v>
      </c>
      <c r="S1364" s="7">
        <v>0</v>
      </c>
      <c r="T1364" s="8">
        <v>0</v>
      </c>
      <c r="U1364" s="7">
        <v>0</v>
      </c>
    </row>
    <row r="1365" spans="1:21" x14ac:dyDescent="0.3">
      <c r="A1365" s="4">
        <v>67420</v>
      </c>
      <c r="B1365" s="13">
        <f t="shared" si="39"/>
        <v>110.1229297</v>
      </c>
      <c r="C1365" s="12">
        <v>0.4189775958366217</v>
      </c>
      <c r="D1365" s="5">
        <f t="shared" si="40"/>
        <v>8</v>
      </c>
      <c r="Q1365" s="4">
        <v>67420</v>
      </c>
      <c r="R1365" s="7">
        <v>2.2787442258487762</v>
      </c>
      <c r="S1365" s="7">
        <v>21.702453505158214</v>
      </c>
      <c r="T1365" s="8">
        <v>0.1915784766609408</v>
      </c>
      <c r="U1365" s="7">
        <v>12.536790666362025</v>
      </c>
    </row>
    <row r="1366" spans="1:21" x14ac:dyDescent="0.3">
      <c r="A1366" s="4">
        <v>67451</v>
      </c>
      <c r="B1366" s="13">
        <f t="shared" si="39"/>
        <v>54.116217499999998</v>
      </c>
      <c r="C1366" s="12">
        <v>2.0914525726513033E-8</v>
      </c>
      <c r="D1366" s="5">
        <f t="shared" si="40"/>
        <v>9</v>
      </c>
      <c r="Q1366" s="4">
        <v>67451</v>
      </c>
      <c r="R1366" s="7">
        <v>7.008114067807278E-8</v>
      </c>
      <c r="S1366" s="7">
        <v>2.0535067702693189E-4</v>
      </c>
      <c r="T1366" s="8">
        <v>5.2702381774528364E-7</v>
      </c>
      <c r="U1366" s="7">
        <v>6.9714078062372096E-3</v>
      </c>
    </row>
    <row r="1367" spans="1:21" x14ac:dyDescent="0.3">
      <c r="A1367" s="4">
        <v>67481</v>
      </c>
      <c r="B1367" s="13">
        <f t="shared" si="39"/>
        <v>68.824260300000006</v>
      </c>
      <c r="C1367" s="12">
        <v>93.908548797480776</v>
      </c>
      <c r="D1367" s="5">
        <f t="shared" si="40"/>
        <v>10</v>
      </c>
      <c r="Q1367" s="4">
        <v>67481</v>
      </c>
      <c r="R1367" s="7">
        <v>230.4908105115961</v>
      </c>
      <c r="S1367" s="7">
        <v>222.9261273144146</v>
      </c>
      <c r="T1367" s="8">
        <v>0.74072741197696401</v>
      </c>
      <c r="U1367" s="7">
        <v>217.51470871027195</v>
      </c>
    </row>
    <row r="1368" spans="1:21" x14ac:dyDescent="0.3">
      <c r="A1368" s="4">
        <v>67512</v>
      </c>
      <c r="B1368" s="13">
        <f t="shared" si="39"/>
        <v>3.9353321000000001</v>
      </c>
      <c r="C1368" s="12">
        <v>31.784752820385531</v>
      </c>
      <c r="D1368" s="5">
        <f t="shared" si="40"/>
        <v>11</v>
      </c>
      <c r="Q1368" s="4">
        <v>67512</v>
      </c>
      <c r="R1368" s="7">
        <v>68.88789223322209</v>
      </c>
      <c r="S1368" s="7">
        <v>111.83269657738657</v>
      </c>
      <c r="T1368" s="8">
        <v>8.9549156724266693E-2</v>
      </c>
      <c r="U1368" s="7">
        <v>111.16186732186588</v>
      </c>
    </row>
    <row r="1369" spans="1:21" x14ac:dyDescent="0.3">
      <c r="A1369" s="4">
        <v>67542</v>
      </c>
      <c r="B1369" s="13">
        <f t="shared" si="39"/>
        <v>34.574915599999997</v>
      </c>
      <c r="C1369" s="12">
        <v>59.361607680329975</v>
      </c>
      <c r="D1369" s="5">
        <f t="shared" si="40"/>
        <v>12</v>
      </c>
      <c r="Q1369" s="4">
        <v>67542</v>
      </c>
      <c r="R1369" s="7">
        <v>125.23725351716739</v>
      </c>
      <c r="S1369" s="7">
        <v>140.46263739910384</v>
      </c>
      <c r="T1369" s="8">
        <v>0.16233426308533022</v>
      </c>
      <c r="U1369" s="7">
        <v>138.72514104583874</v>
      </c>
    </row>
    <row r="1370" spans="1:21" x14ac:dyDescent="0.3">
      <c r="A1370" s="4">
        <v>67573</v>
      </c>
      <c r="B1370" s="13">
        <f t="shared" si="39"/>
        <v>159.09879670000001</v>
      </c>
      <c r="C1370" s="12">
        <v>80.302050418686107</v>
      </c>
      <c r="D1370" s="5">
        <f t="shared" si="40"/>
        <v>1</v>
      </c>
      <c r="Q1370" s="4">
        <v>67573</v>
      </c>
      <c r="R1370" s="7">
        <v>110.41752860407762</v>
      </c>
      <c r="S1370" s="7">
        <v>93.660858147171695</v>
      </c>
      <c r="T1370" s="8">
        <v>0.26451280531086785</v>
      </c>
      <c r="U1370" s="7">
        <v>93.70094956191447</v>
      </c>
    </row>
    <row r="1371" spans="1:21" x14ac:dyDescent="0.3">
      <c r="A1371" s="4">
        <v>67604</v>
      </c>
      <c r="B1371" s="13">
        <f t="shared" si="39"/>
        <v>220.115655</v>
      </c>
      <c r="C1371" s="12">
        <v>62.155858171172532</v>
      </c>
      <c r="D1371" s="5">
        <f t="shared" si="40"/>
        <v>2</v>
      </c>
      <c r="Q1371" s="4">
        <v>67604</v>
      </c>
      <c r="R1371" s="7">
        <v>121.4662296122024</v>
      </c>
      <c r="S1371" s="7">
        <v>138.67208676559031</v>
      </c>
      <c r="T1371" s="8">
        <v>0.27847356168685444</v>
      </c>
      <c r="U1371" s="7">
        <v>138.31548572977235</v>
      </c>
    </row>
    <row r="1372" spans="1:21" x14ac:dyDescent="0.3">
      <c r="A1372" s="4">
        <v>67632</v>
      </c>
      <c r="B1372" s="13">
        <f t="shared" si="39"/>
        <v>150.13712390000001</v>
      </c>
      <c r="C1372" s="12">
        <v>2.4947075746240444</v>
      </c>
      <c r="D1372" s="5">
        <f t="shared" si="40"/>
        <v>3</v>
      </c>
      <c r="Q1372" s="4">
        <v>67632</v>
      </c>
      <c r="R1372" s="7">
        <v>5.3160517733141939</v>
      </c>
      <c r="S1372" s="7">
        <v>6.9302997707182197</v>
      </c>
      <c r="T1372" s="8">
        <v>3.2814700077418218E-5</v>
      </c>
      <c r="U1372" s="7">
        <v>7.6673588096107341</v>
      </c>
    </row>
    <row r="1373" spans="1:21" x14ac:dyDescent="0.3">
      <c r="A1373" s="4">
        <v>67663</v>
      </c>
      <c r="B1373" s="13">
        <f t="shared" si="39"/>
        <v>8.3972560999999999</v>
      </c>
      <c r="C1373" s="12">
        <v>51.630307047162205</v>
      </c>
      <c r="D1373" s="5">
        <f t="shared" si="40"/>
        <v>4</v>
      </c>
      <c r="Q1373" s="4">
        <v>67663</v>
      </c>
      <c r="R1373" s="7">
        <v>97.230801248601168</v>
      </c>
      <c r="S1373" s="7">
        <v>91.194698401769315</v>
      </c>
      <c r="T1373" s="8">
        <v>0.27065028896946797</v>
      </c>
      <c r="U1373" s="7">
        <v>91.605823017748236</v>
      </c>
    </row>
    <row r="1374" spans="1:21" x14ac:dyDescent="0.3">
      <c r="A1374" s="4">
        <v>67693</v>
      </c>
      <c r="B1374" s="13">
        <f t="shared" si="39"/>
        <v>71.705783100000005</v>
      </c>
      <c r="C1374" s="12">
        <v>23.852516044280488</v>
      </c>
      <c r="D1374" s="5">
        <f t="shared" si="40"/>
        <v>5</v>
      </c>
      <c r="Q1374" s="4">
        <v>67693</v>
      </c>
      <c r="R1374" s="7">
        <v>40.530145514737924</v>
      </c>
      <c r="S1374" s="7">
        <v>48.319088011300309</v>
      </c>
      <c r="T1374" s="8">
        <v>0.15742319725958528</v>
      </c>
      <c r="U1374" s="7">
        <v>48.069098865954416</v>
      </c>
    </row>
    <row r="1375" spans="1:21" x14ac:dyDescent="0.3">
      <c r="A1375" s="4">
        <v>67724</v>
      </c>
      <c r="B1375" s="13">
        <f t="shared" si="39"/>
        <v>21.899130799999998</v>
      </c>
      <c r="C1375" s="12">
        <v>0.56499584070479647</v>
      </c>
      <c r="D1375" s="5">
        <f t="shared" si="40"/>
        <v>6</v>
      </c>
      <c r="Q1375" s="4">
        <v>67724</v>
      </c>
      <c r="R1375" s="7">
        <v>0.57244020142395613</v>
      </c>
      <c r="S1375" s="7">
        <v>2.9555797588867385</v>
      </c>
      <c r="T1375" s="8">
        <v>7.3988627047672575E-2</v>
      </c>
      <c r="U1375" s="7">
        <v>5.5493978012781531</v>
      </c>
    </row>
    <row r="1376" spans="1:21" x14ac:dyDescent="0.3">
      <c r="A1376" s="4">
        <v>67754</v>
      </c>
      <c r="B1376" s="13">
        <f t="shared" si="39"/>
        <v>136.41058849999999</v>
      </c>
      <c r="C1376" s="12">
        <v>1.5075619650815506</v>
      </c>
      <c r="D1376" s="5">
        <f t="shared" si="40"/>
        <v>7</v>
      </c>
      <c r="Q1376" s="4">
        <v>67754</v>
      </c>
      <c r="R1376" s="7">
        <v>5.4553946782509435</v>
      </c>
      <c r="S1376" s="7">
        <v>9.3849483185614186</v>
      </c>
      <c r="T1376" s="8">
        <v>0.28932027710982816</v>
      </c>
      <c r="U1376" s="7">
        <v>10.991684348863322</v>
      </c>
    </row>
    <row r="1377" spans="1:21" x14ac:dyDescent="0.3">
      <c r="A1377" s="4">
        <v>67785</v>
      </c>
      <c r="B1377" s="13">
        <f t="shared" si="39"/>
        <v>137.04698339999999</v>
      </c>
      <c r="C1377" s="12">
        <v>3.1399535355802841E-3</v>
      </c>
      <c r="D1377" s="5">
        <f t="shared" si="40"/>
        <v>8</v>
      </c>
      <c r="Q1377" s="4">
        <v>67785</v>
      </c>
      <c r="R1377" s="7">
        <v>1.7077645821012202E-2</v>
      </c>
      <c r="S1377" s="7">
        <v>5.3930834805447896</v>
      </c>
      <c r="T1377" s="8">
        <v>1.4185844957546923E-2</v>
      </c>
      <c r="U1377" s="7">
        <v>2.584623929959029</v>
      </c>
    </row>
    <row r="1378" spans="1:21" x14ac:dyDescent="0.3">
      <c r="A1378" s="4">
        <v>67816</v>
      </c>
      <c r="B1378" s="13">
        <f t="shared" si="39"/>
        <v>3.6915695999999998</v>
      </c>
      <c r="C1378" s="12">
        <v>9.9438281608854706E-2</v>
      </c>
      <c r="D1378" s="5">
        <f t="shared" si="40"/>
        <v>9</v>
      </c>
      <c r="Q1378" s="4">
        <v>67816</v>
      </c>
      <c r="R1378" s="7">
        <v>0.33320134978637295</v>
      </c>
      <c r="S1378" s="7">
        <v>2.7940545589124772</v>
      </c>
      <c r="T1378" s="8">
        <v>2.3269733454940301E-2</v>
      </c>
      <c r="U1378" s="7">
        <v>4.8818547453007657</v>
      </c>
    </row>
    <row r="1379" spans="1:21" x14ac:dyDescent="0.3">
      <c r="A1379" s="4">
        <v>67846</v>
      </c>
      <c r="B1379" s="13">
        <f t="shared" si="39"/>
        <v>3.9328050999999999</v>
      </c>
      <c r="C1379" s="12">
        <v>71.255088230827909</v>
      </c>
      <c r="D1379" s="5">
        <f t="shared" si="40"/>
        <v>10</v>
      </c>
      <c r="Q1379" s="4">
        <v>67846</v>
      </c>
      <c r="R1379" s="7">
        <v>174.88975444415985</v>
      </c>
      <c r="S1379" s="7">
        <v>190.16173167772709</v>
      </c>
      <c r="T1379" s="8">
        <v>0.62943304180512949</v>
      </c>
      <c r="U1379" s="7">
        <v>185.24332062632081</v>
      </c>
    </row>
    <row r="1380" spans="1:21" x14ac:dyDescent="0.3">
      <c r="A1380" s="4">
        <v>67877</v>
      </c>
      <c r="B1380" s="13">
        <f t="shared" si="39"/>
        <v>64.961285000000004</v>
      </c>
      <c r="C1380" s="12">
        <v>45.891394489444899</v>
      </c>
      <c r="D1380" s="5">
        <f t="shared" si="40"/>
        <v>11</v>
      </c>
      <c r="Q1380" s="4">
        <v>67877</v>
      </c>
      <c r="R1380" s="7">
        <v>99.461570643191706</v>
      </c>
      <c r="S1380" s="7">
        <v>139.41348831660082</v>
      </c>
      <c r="T1380" s="8">
        <v>0.18874795823516696</v>
      </c>
      <c r="U1380" s="7">
        <v>136.82727704212596</v>
      </c>
    </row>
    <row r="1381" spans="1:21" x14ac:dyDescent="0.3">
      <c r="A1381" s="4">
        <v>67907</v>
      </c>
      <c r="B1381" s="13">
        <f t="shared" si="39"/>
        <v>28.739776299999999</v>
      </c>
      <c r="C1381" s="12">
        <v>8.2187661835632717</v>
      </c>
      <c r="D1381" s="5">
        <f t="shared" si="40"/>
        <v>12</v>
      </c>
      <c r="Q1381" s="4">
        <v>67907</v>
      </c>
      <c r="R1381" s="7">
        <v>17.339417585725233</v>
      </c>
      <c r="S1381" s="7">
        <v>26.632163887400555</v>
      </c>
      <c r="T1381" s="8">
        <v>1.6452679810840723E-4</v>
      </c>
      <c r="U1381" s="7">
        <v>28.111539211292047</v>
      </c>
    </row>
    <row r="1382" spans="1:21" x14ac:dyDescent="0.3">
      <c r="A1382" s="4">
        <v>67938</v>
      </c>
      <c r="B1382" s="13">
        <f t="shared" si="39"/>
        <v>114.8667864</v>
      </c>
      <c r="C1382" s="12">
        <v>20.677579863695417</v>
      </c>
      <c r="D1382" s="5">
        <f t="shared" si="40"/>
        <v>1</v>
      </c>
      <c r="Q1382" s="4">
        <v>67938</v>
      </c>
      <c r="R1382" s="7">
        <v>28.432241196314461</v>
      </c>
      <c r="S1382" s="7">
        <v>15.64893866563388</v>
      </c>
      <c r="T1382" s="8">
        <v>2.7792540064171868E-3</v>
      </c>
      <c r="U1382" s="7">
        <v>12.779583267745064</v>
      </c>
    </row>
    <row r="1383" spans="1:21" x14ac:dyDescent="0.3">
      <c r="A1383" s="4">
        <v>67969</v>
      </c>
      <c r="B1383" s="13">
        <f t="shared" si="39"/>
        <v>233.36038550000001</v>
      </c>
      <c r="C1383" s="12">
        <v>54.741017078049502</v>
      </c>
      <c r="D1383" s="5">
        <f t="shared" si="40"/>
        <v>2</v>
      </c>
      <c r="Q1383" s="4">
        <v>67969</v>
      </c>
      <c r="R1383" s="7">
        <v>106.97599784233533</v>
      </c>
      <c r="S1383" s="7">
        <v>125.67831505750992</v>
      </c>
      <c r="T1383" s="8">
        <v>0.21845279224503769</v>
      </c>
      <c r="U1383" s="7">
        <v>125.80035787332278</v>
      </c>
    </row>
    <row r="1384" spans="1:21" x14ac:dyDescent="0.3">
      <c r="A1384" s="4">
        <v>67997</v>
      </c>
      <c r="B1384" s="13">
        <f t="shared" si="39"/>
        <v>452.79219110000003</v>
      </c>
      <c r="C1384" s="12">
        <v>2.1569964525042455</v>
      </c>
      <c r="D1384" s="5">
        <f t="shared" si="40"/>
        <v>3</v>
      </c>
      <c r="Q1384" s="4">
        <v>67997</v>
      </c>
      <c r="R1384" s="7">
        <v>4.5964123943848074</v>
      </c>
      <c r="S1384" s="7">
        <v>6.0592412890962368</v>
      </c>
      <c r="T1384" s="8">
        <v>1.9475361635399468E-5</v>
      </c>
      <c r="U1384" s="7">
        <v>6.7560802274063203</v>
      </c>
    </row>
    <row r="1385" spans="1:21" x14ac:dyDescent="0.3">
      <c r="A1385" s="4">
        <v>68028</v>
      </c>
      <c r="B1385" s="13">
        <f t="shared" si="39"/>
        <v>121.4150317</v>
      </c>
      <c r="C1385" s="12">
        <v>16.022503099520687</v>
      </c>
      <c r="D1385" s="5">
        <f t="shared" si="40"/>
        <v>4</v>
      </c>
      <c r="Q1385" s="4">
        <v>68028</v>
      </c>
      <c r="R1385" s="7">
        <v>30.173766213544514</v>
      </c>
      <c r="S1385" s="7">
        <v>24.27281712150149</v>
      </c>
      <c r="T1385" s="8">
        <v>5.760853185456453E-3</v>
      </c>
      <c r="U1385" s="7">
        <v>23.344047152315994</v>
      </c>
    </row>
    <row r="1386" spans="1:21" x14ac:dyDescent="0.3">
      <c r="A1386" s="4">
        <v>68058</v>
      </c>
      <c r="B1386" s="13">
        <f t="shared" si="39"/>
        <v>124.7673716</v>
      </c>
      <c r="C1386" s="12">
        <v>2.8932747663929992</v>
      </c>
      <c r="D1386" s="5">
        <f t="shared" si="40"/>
        <v>5</v>
      </c>
      <c r="Q1386" s="4">
        <v>68058</v>
      </c>
      <c r="R1386" s="7">
        <v>4.9162464487324451</v>
      </c>
      <c r="S1386" s="7">
        <v>8.0985715129348836</v>
      </c>
      <c r="T1386" s="8">
        <v>2.2547211475783561E-3</v>
      </c>
      <c r="U1386" s="7">
        <v>8.9698477715436802</v>
      </c>
    </row>
    <row r="1387" spans="1:21" x14ac:dyDescent="0.3">
      <c r="A1387" s="4">
        <v>68089</v>
      </c>
      <c r="B1387" s="13">
        <f t="shared" si="39"/>
        <v>127.67114960000001</v>
      </c>
      <c r="C1387" s="12">
        <v>1.4853751836199096</v>
      </c>
      <c r="D1387" s="5">
        <f t="shared" si="40"/>
        <v>6</v>
      </c>
      <c r="Q1387" s="4">
        <v>68089</v>
      </c>
      <c r="R1387" s="7">
        <v>1.5049464226866625</v>
      </c>
      <c r="S1387" s="7">
        <v>5.3955530848414499</v>
      </c>
      <c r="T1387" s="8">
        <v>0.13199353416481305</v>
      </c>
      <c r="U1387" s="7">
        <v>8.2495938884844868</v>
      </c>
    </row>
    <row r="1388" spans="1:21" x14ac:dyDescent="0.3">
      <c r="A1388" s="4">
        <v>68119</v>
      </c>
      <c r="B1388" s="13">
        <f t="shared" si="39"/>
        <v>207.521795</v>
      </c>
      <c r="C1388" s="12">
        <v>0</v>
      </c>
      <c r="D1388" s="5">
        <f t="shared" si="40"/>
        <v>7</v>
      </c>
      <c r="Q1388" s="4">
        <v>68119</v>
      </c>
      <c r="R1388" s="7">
        <v>0</v>
      </c>
      <c r="S1388" s="7">
        <v>0</v>
      </c>
      <c r="T1388" s="8">
        <v>0</v>
      </c>
      <c r="U1388" s="7">
        <v>0</v>
      </c>
    </row>
    <row r="1389" spans="1:21" x14ac:dyDescent="0.3">
      <c r="A1389" s="4">
        <v>68150</v>
      </c>
      <c r="B1389" s="13">
        <f t="shared" si="39"/>
        <v>176.88675570000001</v>
      </c>
      <c r="C1389" s="12">
        <v>0</v>
      </c>
      <c r="D1389" s="5">
        <f t="shared" si="40"/>
        <v>8</v>
      </c>
      <c r="Q1389" s="4">
        <v>68150</v>
      </c>
      <c r="R1389" s="7">
        <v>0</v>
      </c>
      <c r="S1389" s="7">
        <v>0</v>
      </c>
      <c r="T1389" s="8">
        <v>0</v>
      </c>
      <c r="U1389" s="7">
        <v>0</v>
      </c>
    </row>
    <row r="1390" spans="1:21" x14ac:dyDescent="0.3">
      <c r="A1390" s="4">
        <v>68181</v>
      </c>
      <c r="B1390" s="13">
        <f t="shared" si="39"/>
        <v>21.2355646</v>
      </c>
      <c r="C1390" s="12">
        <v>2.1143767507710442E-11</v>
      </c>
      <c r="D1390" s="5">
        <f t="shared" si="40"/>
        <v>9</v>
      </c>
      <c r="Q1390" s="4">
        <v>68181</v>
      </c>
      <c r="R1390" s="7">
        <v>7.0849292235868882E-11</v>
      </c>
      <c r="S1390" s="7">
        <v>2.8717914229638343E-6</v>
      </c>
      <c r="T1390" s="8">
        <v>4.3435602264121453E-9</v>
      </c>
      <c r="U1390" s="7">
        <v>3.7728314197965835E-4</v>
      </c>
    </row>
    <row r="1391" spans="1:21" x14ac:dyDescent="0.3">
      <c r="A1391" s="4">
        <v>68211</v>
      </c>
      <c r="B1391" s="13">
        <f t="shared" si="39"/>
        <v>20.664609899999999</v>
      </c>
      <c r="C1391" s="12">
        <v>63.317520014243307</v>
      </c>
      <c r="D1391" s="5">
        <f t="shared" si="40"/>
        <v>10</v>
      </c>
      <c r="Q1391" s="4">
        <v>68211</v>
      </c>
      <c r="R1391" s="7">
        <v>155.40764599759902</v>
      </c>
      <c r="S1391" s="7">
        <v>177.65882848227855</v>
      </c>
      <c r="T1391" s="8">
        <v>0.5808777981040445</v>
      </c>
      <c r="U1391" s="7">
        <v>173.26755996887943</v>
      </c>
    </row>
    <row r="1392" spans="1:21" x14ac:dyDescent="0.3">
      <c r="A1392" s="4">
        <v>68242</v>
      </c>
      <c r="B1392" s="13">
        <f t="shared" si="39"/>
        <v>63.359983499999998</v>
      </c>
      <c r="C1392" s="12">
        <v>26.059275143779825</v>
      </c>
      <c r="D1392" s="5">
        <f t="shared" si="40"/>
        <v>11</v>
      </c>
      <c r="Q1392" s="4">
        <v>68242</v>
      </c>
      <c r="R1392" s="7">
        <v>56.478920818576725</v>
      </c>
      <c r="S1392" s="7">
        <v>99.265756304707267</v>
      </c>
      <c r="T1392" s="8">
        <v>5.7710111177066085E-2</v>
      </c>
      <c r="U1392" s="7">
        <v>99.678004704783078</v>
      </c>
    </row>
    <row r="1393" spans="1:21" x14ac:dyDescent="0.3">
      <c r="A1393" s="4">
        <v>68272</v>
      </c>
      <c r="B1393" s="13">
        <f t="shared" si="39"/>
        <v>18.068093399999999</v>
      </c>
      <c r="C1393" s="12">
        <v>74.427264434052631</v>
      </c>
      <c r="D1393" s="5">
        <f t="shared" si="40"/>
        <v>12</v>
      </c>
      <c r="Q1393" s="4">
        <v>68272</v>
      </c>
      <c r="R1393" s="7">
        <v>157.02179487307464</v>
      </c>
      <c r="S1393" s="7">
        <v>169.89003486911946</v>
      </c>
      <c r="T1393" s="8">
        <v>0.27775968923574595</v>
      </c>
      <c r="U1393" s="7">
        <v>167.81706688280389</v>
      </c>
    </row>
    <row r="1394" spans="1:21" x14ac:dyDescent="0.3">
      <c r="A1394" s="4">
        <v>68303</v>
      </c>
      <c r="B1394" s="13">
        <f t="shared" si="39"/>
        <v>151.88512929999999</v>
      </c>
      <c r="C1394" s="12">
        <v>19.76572646090062</v>
      </c>
      <c r="D1394" s="5">
        <f t="shared" si="40"/>
        <v>1</v>
      </c>
      <c r="Q1394" s="4">
        <v>68303</v>
      </c>
      <c r="R1394" s="7">
        <v>27.178417680465717</v>
      </c>
      <c r="S1394" s="7">
        <v>14.745300398877131</v>
      </c>
      <c r="T1394" s="8">
        <v>2.3140712062444165E-3</v>
      </c>
      <c r="U1394" s="7">
        <v>11.914811788825327</v>
      </c>
    </row>
    <row r="1395" spans="1:21" x14ac:dyDescent="0.3">
      <c r="A1395" s="4">
        <v>68334</v>
      </c>
      <c r="B1395" s="13">
        <f t="shared" si="39"/>
        <v>213.2590141</v>
      </c>
      <c r="C1395" s="12">
        <v>67.416716529987795</v>
      </c>
      <c r="D1395" s="5">
        <f t="shared" si="40"/>
        <v>2</v>
      </c>
      <c r="Q1395" s="4">
        <v>68334</v>
      </c>
      <c r="R1395" s="7">
        <v>131.74710494995938</v>
      </c>
      <c r="S1395" s="7">
        <v>147.67867636357781</v>
      </c>
      <c r="T1395" s="8">
        <v>0.32206942621046603</v>
      </c>
      <c r="U1395" s="7">
        <v>147.03057459620385</v>
      </c>
    </row>
    <row r="1396" spans="1:21" x14ac:dyDescent="0.3">
      <c r="A1396" s="4">
        <v>68362</v>
      </c>
      <c r="B1396" s="13">
        <f t="shared" si="39"/>
        <v>86.718637700000002</v>
      </c>
      <c r="C1396" s="12">
        <v>61.904431093716973</v>
      </c>
      <c r="D1396" s="5">
        <f t="shared" si="40"/>
        <v>3</v>
      </c>
      <c r="Q1396" s="4">
        <v>68362</v>
      </c>
      <c r="R1396" s="7">
        <v>131.91412253652786</v>
      </c>
      <c r="S1396" s="7">
        <v>134.48469161729028</v>
      </c>
      <c r="T1396" s="8">
        <v>0.47114903916025769</v>
      </c>
      <c r="U1396" s="7">
        <v>134.12355847648564</v>
      </c>
    </row>
    <row r="1397" spans="1:21" x14ac:dyDescent="0.3">
      <c r="A1397" s="4">
        <v>68393</v>
      </c>
      <c r="B1397" s="13">
        <f t="shared" si="39"/>
        <v>51.651310000000002</v>
      </c>
      <c r="C1397" s="12">
        <v>4.8549653329246159</v>
      </c>
      <c r="D1397" s="5">
        <f t="shared" si="40"/>
        <v>4</v>
      </c>
      <c r="Q1397" s="4">
        <v>68393</v>
      </c>
      <c r="R1397" s="7">
        <v>9.1429277947783945</v>
      </c>
      <c r="S1397" s="7">
        <v>6.2884021362172042</v>
      </c>
      <c r="T1397" s="8">
        <v>3.369018609000175E-5</v>
      </c>
      <c r="U1397" s="7">
        <v>5.4999877646489725</v>
      </c>
    </row>
    <row r="1398" spans="1:21" x14ac:dyDescent="0.3">
      <c r="A1398" s="4">
        <v>68423</v>
      </c>
      <c r="B1398" s="13">
        <f t="shared" si="39"/>
        <v>61.366273900000003</v>
      </c>
      <c r="C1398" s="12">
        <v>0.43209787932028104</v>
      </c>
      <c r="D1398" s="5">
        <f t="shared" si="40"/>
        <v>5</v>
      </c>
      <c r="Q1398" s="4">
        <v>68423</v>
      </c>
      <c r="R1398" s="7">
        <v>0.73421981534145264</v>
      </c>
      <c r="S1398" s="7">
        <v>1.6187787273454022</v>
      </c>
      <c r="T1398" s="8">
        <v>3.3076538508010299E-5</v>
      </c>
      <c r="U1398" s="7">
        <v>2.0956939141511586</v>
      </c>
    </row>
    <row r="1399" spans="1:21" x14ac:dyDescent="0.3">
      <c r="A1399" s="4">
        <v>68454</v>
      </c>
      <c r="B1399" s="13">
        <f t="shared" si="39"/>
        <v>109.5191387</v>
      </c>
      <c r="C1399" s="12">
        <v>39.835641277022567</v>
      </c>
      <c r="D1399" s="5">
        <f t="shared" si="40"/>
        <v>6</v>
      </c>
      <c r="Q1399" s="4">
        <v>68454</v>
      </c>
      <c r="R1399" s="7">
        <v>40.360513960643161</v>
      </c>
      <c r="S1399" s="7">
        <v>41.829923181899687</v>
      </c>
      <c r="T1399" s="8">
        <v>0.74392054286963405</v>
      </c>
      <c r="U1399" s="7">
        <v>40.843607260830971</v>
      </c>
    </row>
    <row r="1400" spans="1:21" x14ac:dyDescent="0.3">
      <c r="A1400" s="4">
        <v>68484</v>
      </c>
      <c r="B1400" s="13">
        <f t="shared" si="39"/>
        <v>299.96007520000001</v>
      </c>
      <c r="C1400" s="12">
        <v>0.32978273393382668</v>
      </c>
      <c r="D1400" s="5">
        <f t="shared" si="40"/>
        <v>7</v>
      </c>
      <c r="Q1400" s="4">
        <v>68484</v>
      </c>
      <c r="R1400" s="7">
        <v>1.19338044694191</v>
      </c>
      <c r="S1400" s="7">
        <v>3.1209547204389114</v>
      </c>
      <c r="T1400" s="8">
        <v>0.11241162553446456</v>
      </c>
      <c r="U1400" s="7">
        <v>4.7150694282628738</v>
      </c>
    </row>
    <row r="1401" spans="1:21" x14ac:dyDescent="0.3">
      <c r="A1401" s="4">
        <v>68515</v>
      </c>
      <c r="B1401" s="13">
        <f t="shared" si="39"/>
        <v>137.74359010000001</v>
      </c>
      <c r="C1401" s="12">
        <v>0</v>
      </c>
      <c r="D1401" s="5">
        <f t="shared" si="40"/>
        <v>8</v>
      </c>
      <c r="Q1401" s="4">
        <v>68515</v>
      </c>
      <c r="R1401" s="7">
        <v>0</v>
      </c>
      <c r="S1401" s="7">
        <v>0</v>
      </c>
      <c r="T1401" s="8">
        <v>0</v>
      </c>
      <c r="U1401" s="7">
        <v>0</v>
      </c>
    </row>
    <row r="1402" spans="1:21" x14ac:dyDescent="0.3">
      <c r="A1402" s="4">
        <v>68546</v>
      </c>
      <c r="B1402" s="13">
        <f t="shared" si="39"/>
        <v>58.077540999999997</v>
      </c>
      <c r="C1402" s="12">
        <v>0</v>
      </c>
      <c r="D1402" s="5">
        <f t="shared" si="40"/>
        <v>9</v>
      </c>
      <c r="Q1402" s="4">
        <v>68546</v>
      </c>
      <c r="R1402" s="7">
        <v>0</v>
      </c>
      <c r="S1402" s="7">
        <v>0</v>
      </c>
      <c r="T1402" s="8">
        <v>0</v>
      </c>
      <c r="U1402" s="7">
        <v>0</v>
      </c>
    </row>
    <row r="1403" spans="1:21" x14ac:dyDescent="0.3">
      <c r="A1403" s="4">
        <v>68576</v>
      </c>
      <c r="B1403" s="13">
        <f t="shared" si="39"/>
        <v>33.199351999999998</v>
      </c>
      <c r="C1403" s="12">
        <v>50.839655060553923</v>
      </c>
      <c r="D1403" s="5">
        <f t="shared" si="40"/>
        <v>10</v>
      </c>
      <c r="Q1403" s="4">
        <v>68576</v>
      </c>
      <c r="R1403" s="7">
        <v>124.78175257832751</v>
      </c>
      <c r="S1403" s="7">
        <v>156.56559071836475</v>
      </c>
      <c r="T1403" s="8">
        <v>0.49281374104618719</v>
      </c>
      <c r="U1403" s="7">
        <v>153.46416166987831</v>
      </c>
    </row>
    <row r="1404" spans="1:21" x14ac:dyDescent="0.3">
      <c r="A1404" s="4">
        <v>68607</v>
      </c>
      <c r="B1404" s="13">
        <f t="shared" si="39"/>
        <v>0.33446779999999998</v>
      </c>
      <c r="C1404" s="12">
        <v>62.337174138519991</v>
      </c>
      <c r="D1404" s="5">
        <f t="shared" si="40"/>
        <v>11</v>
      </c>
      <c r="Q1404" s="4">
        <v>68607</v>
      </c>
      <c r="R1404" s="7">
        <v>135.10492148373035</v>
      </c>
      <c r="S1404" s="7">
        <v>167.54756209988869</v>
      </c>
      <c r="T1404" s="8">
        <v>0.32316631225504888</v>
      </c>
      <c r="U1404" s="7">
        <v>163.78046426083051</v>
      </c>
    </row>
    <row r="1405" spans="1:21" x14ac:dyDescent="0.3">
      <c r="A1405" s="4">
        <v>68637</v>
      </c>
      <c r="B1405" s="13">
        <f t="shared" si="39"/>
        <v>30.723503600000001</v>
      </c>
      <c r="C1405" s="12">
        <v>19.762888531840883</v>
      </c>
      <c r="D1405" s="5">
        <f t="shared" si="40"/>
        <v>12</v>
      </c>
      <c r="Q1405" s="4">
        <v>68637</v>
      </c>
      <c r="R1405" s="7">
        <v>41.694455019179131</v>
      </c>
      <c r="S1405" s="7">
        <v>55.700510463517944</v>
      </c>
      <c r="T1405" s="8">
        <v>4.8485923133149084E-3</v>
      </c>
      <c r="U1405" s="7">
        <v>56.33590955508317</v>
      </c>
    </row>
    <row r="1406" spans="1:21" x14ac:dyDescent="0.3">
      <c r="A1406" s="4">
        <v>68668</v>
      </c>
      <c r="B1406" s="13">
        <f t="shared" si="39"/>
        <v>215.1541197</v>
      </c>
      <c r="C1406" s="12">
        <v>136.58816636307174</v>
      </c>
      <c r="D1406" s="5">
        <f t="shared" si="40"/>
        <v>1</v>
      </c>
      <c r="Q1406" s="4">
        <v>68668</v>
      </c>
      <c r="R1406" s="7">
        <v>187.81248657709867</v>
      </c>
      <c r="S1406" s="7">
        <v>188.70687041183101</v>
      </c>
      <c r="T1406" s="8">
        <v>0.68231166018715794</v>
      </c>
      <c r="U1406" s="7">
        <v>190.88541306599808</v>
      </c>
    </row>
    <row r="1407" spans="1:21" x14ac:dyDescent="0.3">
      <c r="A1407" s="4">
        <v>68699</v>
      </c>
      <c r="B1407" s="13">
        <f t="shared" si="39"/>
        <v>137.2045009</v>
      </c>
      <c r="C1407" s="12">
        <v>53.378838161006563</v>
      </c>
      <c r="D1407" s="5">
        <f t="shared" si="40"/>
        <v>2</v>
      </c>
      <c r="Q1407" s="4">
        <v>68699</v>
      </c>
      <c r="R1407" s="7">
        <v>104.31400037373345</v>
      </c>
      <c r="S1407" s="7">
        <v>123.24927931227674</v>
      </c>
      <c r="T1407" s="8">
        <v>0.20774360564814018</v>
      </c>
      <c r="U1407" s="7">
        <v>123.46798950296557</v>
      </c>
    </row>
    <row r="1408" spans="1:21" x14ac:dyDescent="0.3">
      <c r="A1408" s="4">
        <v>68728</v>
      </c>
      <c r="B1408" s="13">
        <f t="shared" ref="B1408:B1471" si="41">B1027</f>
        <v>219.51549220000001</v>
      </c>
      <c r="C1408" s="12">
        <v>13.904255600937182</v>
      </c>
      <c r="D1408" s="5">
        <f t="shared" si="40"/>
        <v>3</v>
      </c>
      <c r="Q1408" s="4">
        <v>68728</v>
      </c>
      <c r="R1408" s="7">
        <v>29.629020810230678</v>
      </c>
      <c r="S1408" s="7">
        <v>33.865306934981334</v>
      </c>
      <c r="T1408" s="8">
        <v>1.1571622190943938E-2</v>
      </c>
      <c r="U1408" s="7">
        <v>34.727682568730451</v>
      </c>
    </row>
    <row r="1409" spans="1:21" x14ac:dyDescent="0.3">
      <c r="A1409" s="4">
        <v>68759</v>
      </c>
      <c r="B1409" s="13">
        <f t="shared" si="41"/>
        <v>150.35672080000001</v>
      </c>
      <c r="C1409" s="12">
        <v>1.5446752495336111</v>
      </c>
      <c r="D1409" s="5">
        <f t="shared" si="40"/>
        <v>4</v>
      </c>
      <c r="Q1409" s="4">
        <v>68759</v>
      </c>
      <c r="R1409" s="7">
        <v>2.9089505906645767</v>
      </c>
      <c r="S1409" s="7">
        <v>1.7216174053259259</v>
      </c>
      <c r="T1409" s="8">
        <v>1.6587973018188791E-7</v>
      </c>
      <c r="U1409" s="7">
        <v>1.335778496717364</v>
      </c>
    </row>
    <row r="1410" spans="1:21" x14ac:dyDescent="0.3">
      <c r="A1410" s="4">
        <v>68789</v>
      </c>
      <c r="B1410" s="13">
        <f t="shared" si="41"/>
        <v>226.221993</v>
      </c>
      <c r="C1410" s="12">
        <v>82.334524055477104</v>
      </c>
      <c r="D1410" s="5">
        <f t="shared" si="40"/>
        <v>5</v>
      </c>
      <c r="Q1410" s="4">
        <v>68789</v>
      </c>
      <c r="R1410" s="7">
        <v>139.90265155509042</v>
      </c>
      <c r="S1410" s="7">
        <v>137.93996023314651</v>
      </c>
      <c r="T1410" s="8">
        <v>0.74490346398673324</v>
      </c>
      <c r="U1410" s="7">
        <v>137.08174265059779</v>
      </c>
    </row>
    <row r="1411" spans="1:21" x14ac:dyDescent="0.3">
      <c r="A1411" s="4">
        <v>68820</v>
      </c>
      <c r="B1411" s="13">
        <f t="shared" si="41"/>
        <v>130.26435620000001</v>
      </c>
      <c r="C1411" s="12">
        <v>15.906835586065425</v>
      </c>
      <c r="D1411" s="5">
        <f t="shared" ref="D1411:D1474" si="42">MONTH(A1411)</f>
        <v>6</v>
      </c>
      <c r="Q1411" s="4">
        <v>68820</v>
      </c>
      <c r="R1411" s="7">
        <v>16.116423362597228</v>
      </c>
      <c r="S1411" s="7">
        <v>23.617505406162149</v>
      </c>
      <c r="T1411" s="8">
        <v>0.49992251759297279</v>
      </c>
      <c r="U1411" s="7">
        <v>24.665747059976741</v>
      </c>
    </row>
    <row r="1412" spans="1:21" x14ac:dyDescent="0.3">
      <c r="A1412" s="4">
        <v>68850</v>
      </c>
      <c r="B1412" s="13">
        <f t="shared" si="41"/>
        <v>79.208815700000002</v>
      </c>
      <c r="C1412" s="12">
        <v>0.65388580351282233</v>
      </c>
      <c r="D1412" s="5">
        <f t="shared" si="42"/>
        <v>7</v>
      </c>
      <c r="Q1412" s="4">
        <v>68850</v>
      </c>
      <c r="R1412" s="7">
        <v>2.3662079670965483</v>
      </c>
      <c r="S1412" s="7">
        <v>5.1243116479148165</v>
      </c>
      <c r="T1412" s="8">
        <v>0.1733058358736296</v>
      </c>
      <c r="U1412" s="7">
        <v>6.8449324638925608</v>
      </c>
    </row>
    <row r="1413" spans="1:21" x14ac:dyDescent="0.3">
      <c r="A1413" s="4">
        <v>68881</v>
      </c>
      <c r="B1413" s="13">
        <f t="shared" si="41"/>
        <v>165.0778636</v>
      </c>
      <c r="C1413" s="12">
        <v>2.4021394747251175</v>
      </c>
      <c r="D1413" s="5">
        <f t="shared" si="42"/>
        <v>8</v>
      </c>
      <c r="Q1413" s="4">
        <v>68881</v>
      </c>
      <c r="R1413" s="7">
        <v>13.064807073473636</v>
      </c>
      <c r="S1413" s="7">
        <v>35.668721663134555</v>
      </c>
      <c r="T1413" s="8">
        <v>0.45911126226496168</v>
      </c>
      <c r="U1413" s="7">
        <v>24.964545432864941</v>
      </c>
    </row>
    <row r="1414" spans="1:21" x14ac:dyDescent="0.3">
      <c r="A1414" s="4">
        <v>68912</v>
      </c>
      <c r="B1414" s="13">
        <f t="shared" si="41"/>
        <v>24.596682999999999</v>
      </c>
      <c r="C1414" s="12">
        <v>4.4263575000513793</v>
      </c>
      <c r="D1414" s="5">
        <f t="shared" si="42"/>
        <v>9</v>
      </c>
      <c r="Q1414" s="4">
        <v>68912</v>
      </c>
      <c r="R1414" s="7">
        <v>14.831996991416451</v>
      </c>
      <c r="S1414" s="7">
        <v>29.295618317576093</v>
      </c>
      <c r="T1414" s="8">
        <v>0.30474875932784684</v>
      </c>
      <c r="U1414" s="7">
        <v>29.927922047232116</v>
      </c>
    </row>
    <row r="1415" spans="1:21" x14ac:dyDescent="0.3">
      <c r="A1415" s="4">
        <v>68942</v>
      </c>
      <c r="B1415" s="13">
        <f t="shared" si="41"/>
        <v>2.9321012</v>
      </c>
      <c r="C1415" s="12">
        <v>26.954944964381955</v>
      </c>
      <c r="D1415" s="5">
        <f t="shared" si="42"/>
        <v>10</v>
      </c>
      <c r="Q1415" s="4">
        <v>68942</v>
      </c>
      <c r="R1415" s="7">
        <v>66.158695791735312</v>
      </c>
      <c r="S1415" s="7">
        <v>108.64595694977469</v>
      </c>
      <c r="T1415" s="8">
        <v>0.27994478402203055</v>
      </c>
      <c r="U1415" s="7">
        <v>110.11425865640389</v>
      </c>
    </row>
    <row r="1416" spans="1:21" x14ac:dyDescent="0.3">
      <c r="A1416" s="4">
        <v>68973</v>
      </c>
      <c r="B1416" s="13">
        <f t="shared" si="41"/>
        <v>7.6125645999999998</v>
      </c>
      <c r="C1416" s="12">
        <v>84.524134173989196</v>
      </c>
      <c r="D1416" s="5">
        <f t="shared" si="42"/>
        <v>11</v>
      </c>
      <c r="Q1416" s="4">
        <v>68973</v>
      </c>
      <c r="R1416" s="7">
        <v>183.19127661580305</v>
      </c>
      <c r="S1416" s="7">
        <v>201.14162300921942</v>
      </c>
      <c r="T1416" s="8">
        <v>0.50152138490241682</v>
      </c>
      <c r="U1416" s="7">
        <v>197.10817949044991</v>
      </c>
    </row>
    <row r="1417" spans="1:21" x14ac:dyDescent="0.3">
      <c r="A1417" s="4">
        <v>69003</v>
      </c>
      <c r="B1417" s="13">
        <f t="shared" si="41"/>
        <v>32.972645800000002</v>
      </c>
      <c r="C1417" s="12">
        <v>11.158645713294398</v>
      </c>
      <c r="D1417" s="5">
        <f t="shared" si="42"/>
        <v>12</v>
      </c>
      <c r="Q1417" s="4">
        <v>69003</v>
      </c>
      <c r="R1417" s="7">
        <v>23.541783936002982</v>
      </c>
      <c r="S1417" s="7">
        <v>34.442412473193656</v>
      </c>
      <c r="T1417" s="8">
        <v>5.5291328394682735E-4</v>
      </c>
      <c r="U1417" s="7">
        <v>35.748595760062898</v>
      </c>
    </row>
    <row r="1418" spans="1:21" x14ac:dyDescent="0.3">
      <c r="A1418" s="4">
        <v>69034</v>
      </c>
      <c r="B1418" s="13">
        <f t="shared" si="41"/>
        <v>101.2317037</v>
      </c>
      <c r="C1418" s="12">
        <v>99.675639637280213</v>
      </c>
      <c r="D1418" s="5">
        <f t="shared" si="42"/>
        <v>1</v>
      </c>
      <c r="Q1418" s="4">
        <v>69034</v>
      </c>
      <c r="R1418" s="7">
        <v>137.05674678785118</v>
      </c>
      <c r="S1418" s="7">
        <v>124.55007238972091</v>
      </c>
      <c r="T1418" s="8">
        <v>0.41945150690573935</v>
      </c>
      <c r="U1418" s="7">
        <v>125.76284570992884</v>
      </c>
    </row>
    <row r="1419" spans="1:21" x14ac:dyDescent="0.3">
      <c r="A1419" s="4">
        <v>69065</v>
      </c>
      <c r="B1419" s="13">
        <f t="shared" si="41"/>
        <v>293.78789169999999</v>
      </c>
      <c r="C1419" s="12">
        <v>77.857037214562212</v>
      </c>
      <c r="D1419" s="5">
        <f t="shared" si="42"/>
        <v>2</v>
      </c>
      <c r="Q1419" s="4">
        <v>69065</v>
      </c>
      <c r="R1419" s="7">
        <v>152.1497898586797</v>
      </c>
      <c r="S1419" s="7">
        <v>165.10022406077948</v>
      </c>
      <c r="T1419" s="8">
        <v>0.40840863746162309</v>
      </c>
      <c r="U1419" s="7">
        <v>163.98819364537036</v>
      </c>
    </row>
    <row r="1420" spans="1:21" x14ac:dyDescent="0.3">
      <c r="A1420" s="4">
        <v>69093</v>
      </c>
      <c r="B1420" s="13">
        <f t="shared" si="41"/>
        <v>205.4655788</v>
      </c>
      <c r="C1420" s="12">
        <v>153.51831084117285</v>
      </c>
      <c r="D1420" s="5">
        <f t="shared" si="42"/>
        <v>3</v>
      </c>
      <c r="Q1420" s="4">
        <v>69093</v>
      </c>
      <c r="R1420" s="7">
        <v>327.13705481349075</v>
      </c>
      <c r="S1420" s="7">
        <v>311.10878828066677</v>
      </c>
      <c r="T1420" s="8">
        <v>0.96929115875859029</v>
      </c>
      <c r="U1420" s="7">
        <v>312.44616787761925</v>
      </c>
    </row>
    <row r="1421" spans="1:21" x14ac:dyDescent="0.3">
      <c r="A1421" s="4">
        <v>69124</v>
      </c>
      <c r="B1421" s="13">
        <f t="shared" si="41"/>
        <v>239.0143357</v>
      </c>
      <c r="C1421" s="12">
        <v>31.860206450801396</v>
      </c>
      <c r="D1421" s="5">
        <f t="shared" si="42"/>
        <v>4</v>
      </c>
      <c r="Q1421" s="4">
        <v>69124</v>
      </c>
      <c r="R1421" s="7">
        <v>59.999515368513343</v>
      </c>
      <c r="S1421" s="7">
        <v>52.820866021191634</v>
      </c>
      <c r="T1421" s="8">
        <v>6.9714893625841712E-2</v>
      </c>
      <c r="U1421" s="7">
        <v>52.485262178768593</v>
      </c>
    </row>
    <row r="1422" spans="1:21" x14ac:dyDescent="0.3">
      <c r="A1422" s="4">
        <v>69154</v>
      </c>
      <c r="B1422" s="13">
        <f t="shared" si="41"/>
        <v>340.19888459999999</v>
      </c>
      <c r="C1422" s="12">
        <v>1.1021496397006545</v>
      </c>
      <c r="D1422" s="5">
        <f t="shared" si="42"/>
        <v>5</v>
      </c>
      <c r="Q1422" s="4">
        <v>69154</v>
      </c>
      <c r="R1422" s="7">
        <v>1.8727703690946613</v>
      </c>
      <c r="S1422" s="7">
        <v>3.5769259462737089</v>
      </c>
      <c r="T1422" s="8">
        <v>2.6809790076104265E-4</v>
      </c>
      <c r="U1422" s="7">
        <v>4.2712763321620351</v>
      </c>
    </row>
    <row r="1423" spans="1:21" x14ac:dyDescent="0.3">
      <c r="A1423" s="4">
        <v>69185</v>
      </c>
      <c r="B1423" s="13">
        <f t="shared" si="41"/>
        <v>56.380270899999999</v>
      </c>
      <c r="C1423" s="12">
        <v>33.692317345412327</v>
      </c>
      <c r="D1423" s="5">
        <f t="shared" si="42"/>
        <v>6</v>
      </c>
      <c r="Q1423" s="4">
        <v>69185</v>
      </c>
      <c r="R1423" s="7">
        <v>34.136245859064339</v>
      </c>
      <c r="S1423" s="7">
        <v>37.687134003802669</v>
      </c>
      <c r="T1423" s="8">
        <v>0.69882728428365559</v>
      </c>
      <c r="U1423" s="7">
        <v>37.08053743611854</v>
      </c>
    </row>
    <row r="1424" spans="1:21" x14ac:dyDescent="0.3">
      <c r="A1424" s="4">
        <v>69215</v>
      </c>
      <c r="B1424" s="13">
        <f t="shared" si="41"/>
        <v>169.3009788</v>
      </c>
      <c r="C1424" s="12">
        <v>0</v>
      </c>
      <c r="D1424" s="5">
        <f t="shared" si="42"/>
        <v>7</v>
      </c>
      <c r="Q1424" s="4">
        <v>69215</v>
      </c>
      <c r="R1424" s="7">
        <v>0</v>
      </c>
      <c r="S1424" s="7">
        <v>0</v>
      </c>
      <c r="T1424" s="8">
        <v>0</v>
      </c>
      <c r="U1424" s="7">
        <v>0</v>
      </c>
    </row>
    <row r="1425" spans="1:21" x14ac:dyDescent="0.3">
      <c r="A1425" s="4">
        <v>69246</v>
      </c>
      <c r="B1425" s="13">
        <f t="shared" si="41"/>
        <v>85.541292799999994</v>
      </c>
      <c r="C1425" s="12">
        <v>0.11391026085902928</v>
      </c>
      <c r="D1425" s="5">
        <f t="shared" si="42"/>
        <v>8</v>
      </c>
      <c r="Q1425" s="4">
        <v>69246</v>
      </c>
      <c r="R1425" s="7">
        <v>0.61953754037640674</v>
      </c>
      <c r="S1425" s="7">
        <v>14.982313537739948</v>
      </c>
      <c r="T1425" s="8">
        <v>9.6398590935852874E-2</v>
      </c>
      <c r="U1425" s="7">
        <v>7.974713883578457</v>
      </c>
    </row>
    <row r="1426" spans="1:21" x14ac:dyDescent="0.3">
      <c r="A1426" s="4">
        <v>69277</v>
      </c>
      <c r="B1426" s="13">
        <f t="shared" si="41"/>
        <v>21.200916100000001</v>
      </c>
      <c r="C1426" s="12">
        <v>5.9673408977687243</v>
      </c>
      <c r="D1426" s="5">
        <f t="shared" si="42"/>
        <v>9</v>
      </c>
      <c r="Q1426" s="4">
        <v>69277</v>
      </c>
      <c r="R1426" s="7">
        <v>19.995579263860794</v>
      </c>
      <c r="S1426" s="7">
        <v>35.246832764573618</v>
      </c>
      <c r="T1426" s="8">
        <v>0.36632065636408995</v>
      </c>
      <c r="U1426" s="7">
        <v>35.180234733188428</v>
      </c>
    </row>
    <row r="1427" spans="1:21" x14ac:dyDescent="0.3">
      <c r="A1427" s="4">
        <v>69307</v>
      </c>
      <c r="B1427" s="13">
        <f t="shared" si="41"/>
        <v>37.963072199999999</v>
      </c>
      <c r="C1427" s="12">
        <v>16.429552061890707</v>
      </c>
      <c r="D1427" s="5">
        <f t="shared" si="42"/>
        <v>10</v>
      </c>
      <c r="Q1427" s="4">
        <v>69307</v>
      </c>
      <c r="R1427" s="7">
        <v>40.324984461789931</v>
      </c>
      <c r="S1427" s="7">
        <v>81.695693454014901</v>
      </c>
      <c r="T1427" s="8">
        <v>0.16854855379142855</v>
      </c>
      <c r="U1427" s="7">
        <v>86.442247268263074</v>
      </c>
    </row>
    <row r="1428" spans="1:21" x14ac:dyDescent="0.3">
      <c r="A1428" s="4">
        <v>69338</v>
      </c>
      <c r="B1428" s="13">
        <f t="shared" si="41"/>
        <v>26.130255999999999</v>
      </c>
      <c r="C1428" s="12">
        <v>68.465794902294874</v>
      </c>
      <c r="D1428" s="5">
        <f t="shared" si="42"/>
        <v>11</v>
      </c>
      <c r="Q1428" s="4">
        <v>69338</v>
      </c>
      <c r="R1428" s="7">
        <v>148.38763502562824</v>
      </c>
      <c r="S1428" s="7">
        <v>177.24799365778216</v>
      </c>
      <c r="T1428" s="8">
        <v>0.37407848212910699</v>
      </c>
      <c r="U1428" s="7">
        <v>173.27213492307834</v>
      </c>
    </row>
    <row r="1429" spans="1:21" x14ac:dyDescent="0.3">
      <c r="A1429" s="4">
        <v>69368</v>
      </c>
      <c r="B1429" s="13">
        <f t="shared" si="41"/>
        <v>28.012876299999999</v>
      </c>
      <c r="C1429" s="12">
        <v>12.472801747208001</v>
      </c>
      <c r="D1429" s="5">
        <f t="shared" si="42"/>
        <v>12</v>
      </c>
      <c r="Q1429" s="4">
        <v>69368</v>
      </c>
      <c r="R1429" s="7">
        <v>26.314304742155084</v>
      </c>
      <c r="S1429" s="7">
        <v>37.823123679842297</v>
      </c>
      <c r="T1429" s="8">
        <v>8.5326303254083238E-4</v>
      </c>
      <c r="U1429" s="7">
        <v>39.036558546015655</v>
      </c>
    </row>
    <row r="1430" spans="1:21" x14ac:dyDescent="0.3">
      <c r="A1430" s="4">
        <v>69399</v>
      </c>
      <c r="B1430" s="13">
        <f t="shared" si="41"/>
        <v>311.60373060000001</v>
      </c>
      <c r="C1430" s="12">
        <v>264.57071844488377</v>
      </c>
      <c r="D1430" s="5">
        <f t="shared" si="42"/>
        <v>1</v>
      </c>
      <c r="Q1430" s="4">
        <v>69399</v>
      </c>
      <c r="R1430" s="7">
        <v>363.79201675890783</v>
      </c>
      <c r="S1430" s="7">
        <v>451.28762044333996</v>
      </c>
      <c r="T1430" s="8">
        <v>0.9846835843528331</v>
      </c>
      <c r="U1430" s="7">
        <v>439.06102589263412</v>
      </c>
    </row>
    <row r="1431" spans="1:21" x14ac:dyDescent="0.3">
      <c r="A1431" s="4">
        <v>69430</v>
      </c>
      <c r="B1431" s="13">
        <f t="shared" si="41"/>
        <v>193.2202618</v>
      </c>
      <c r="C1431" s="12">
        <v>82.199185760691833</v>
      </c>
      <c r="D1431" s="5">
        <f t="shared" si="42"/>
        <v>2</v>
      </c>
      <c r="Q1431" s="4">
        <v>69430</v>
      </c>
      <c r="R1431" s="7">
        <v>160.63530398129041</v>
      </c>
      <c r="S1431" s="7">
        <v>172.18781534639066</v>
      </c>
      <c r="T1431" s="8">
        <v>0.44350857824577533</v>
      </c>
      <c r="U1431" s="7">
        <v>170.92622348942712</v>
      </c>
    </row>
    <row r="1432" spans="1:21" x14ac:dyDescent="0.3">
      <c r="A1432" s="4">
        <v>69458</v>
      </c>
      <c r="B1432" s="13">
        <f t="shared" si="41"/>
        <v>239.85549140000001</v>
      </c>
      <c r="C1432" s="12">
        <v>76.930196065222717</v>
      </c>
      <c r="D1432" s="5">
        <f t="shared" si="42"/>
        <v>3</v>
      </c>
      <c r="Q1432" s="4">
        <v>69458</v>
      </c>
      <c r="R1432" s="7">
        <v>163.93300336035071</v>
      </c>
      <c r="S1432" s="7">
        <v>164.36994205674571</v>
      </c>
      <c r="T1432" s="8">
        <v>0.63246497253521661</v>
      </c>
      <c r="U1432" s="7">
        <v>163.91671428010332</v>
      </c>
    </row>
    <row r="1433" spans="1:21" x14ac:dyDescent="0.3">
      <c r="A1433" s="4">
        <v>69489</v>
      </c>
      <c r="B1433" s="13">
        <f t="shared" si="41"/>
        <v>268.05485870000001</v>
      </c>
      <c r="C1433" s="12">
        <v>28.434908192139044</v>
      </c>
      <c r="D1433" s="5">
        <f t="shared" si="42"/>
        <v>4</v>
      </c>
      <c r="Q1433" s="4">
        <v>69489</v>
      </c>
      <c r="R1433" s="7">
        <v>53.54895341657771</v>
      </c>
      <c r="S1433" s="7">
        <v>46.443790358066202</v>
      </c>
      <c r="T1433" s="8">
        <v>4.7948574822352104E-2</v>
      </c>
      <c r="U1433" s="7">
        <v>45.961593385251994</v>
      </c>
    </row>
    <row r="1434" spans="1:21" x14ac:dyDescent="0.3">
      <c r="A1434" s="4">
        <v>69519</v>
      </c>
      <c r="B1434" s="13">
        <f t="shared" si="41"/>
        <v>82.151043799999997</v>
      </c>
      <c r="C1434" s="12">
        <v>47.81733125564633</v>
      </c>
      <c r="D1434" s="5">
        <f t="shared" si="42"/>
        <v>5</v>
      </c>
      <c r="Q1434" s="4">
        <v>69519</v>
      </c>
      <c r="R1434" s="7">
        <v>81.251109539971921</v>
      </c>
      <c r="S1434" s="7">
        <v>87.070085124217172</v>
      </c>
      <c r="T1434" s="8">
        <v>0.43986833191112634</v>
      </c>
      <c r="U1434" s="7">
        <v>85.957005212505578</v>
      </c>
    </row>
    <row r="1435" spans="1:21" x14ac:dyDescent="0.3">
      <c r="A1435" s="4">
        <v>69550</v>
      </c>
      <c r="B1435" s="13">
        <f t="shared" si="41"/>
        <v>175.76432109999999</v>
      </c>
      <c r="C1435" s="12">
        <v>2.4783206608844925</v>
      </c>
      <c r="D1435" s="5">
        <f t="shared" si="42"/>
        <v>6</v>
      </c>
      <c r="Q1435" s="4">
        <v>69550</v>
      </c>
      <c r="R1435" s="7">
        <v>2.5109749065411608</v>
      </c>
      <c r="S1435" s="7">
        <v>7.4211275355649642</v>
      </c>
      <c r="T1435" s="8">
        <v>0.17866469969824961</v>
      </c>
      <c r="U1435" s="7">
        <v>10.267344143262161</v>
      </c>
    </row>
    <row r="1436" spans="1:21" x14ac:dyDescent="0.3">
      <c r="A1436" s="4">
        <v>69580</v>
      </c>
      <c r="B1436" s="13">
        <f t="shared" si="41"/>
        <v>105.6877432</v>
      </c>
      <c r="C1436" s="12">
        <v>2.491004412149779</v>
      </c>
      <c r="D1436" s="5">
        <f t="shared" si="42"/>
        <v>7</v>
      </c>
      <c r="Q1436" s="4">
        <v>69580</v>
      </c>
      <c r="R1436" s="7">
        <v>9.0141649420071523</v>
      </c>
      <c r="S1436" s="7">
        <v>13.502838696228842</v>
      </c>
      <c r="T1436" s="8">
        <v>0.38757380870491931</v>
      </c>
      <c r="U1436" s="7">
        <v>14.80486924297125</v>
      </c>
    </row>
    <row r="1437" spans="1:21" x14ac:dyDescent="0.3">
      <c r="A1437" s="4">
        <v>69611</v>
      </c>
      <c r="B1437" s="13">
        <f t="shared" si="41"/>
        <v>122.025441</v>
      </c>
      <c r="C1437" s="12">
        <v>0</v>
      </c>
      <c r="D1437" s="5">
        <f t="shared" si="42"/>
        <v>8</v>
      </c>
      <c r="Q1437" s="4">
        <v>69611</v>
      </c>
      <c r="R1437" s="7">
        <v>0</v>
      </c>
      <c r="S1437" s="7">
        <v>0</v>
      </c>
      <c r="T1437" s="8">
        <v>0</v>
      </c>
      <c r="U1437" s="7">
        <v>0</v>
      </c>
    </row>
    <row r="1438" spans="1:21" x14ac:dyDescent="0.3">
      <c r="A1438" s="4">
        <v>69642</v>
      </c>
      <c r="B1438" s="13">
        <f t="shared" si="41"/>
        <v>13.0360415</v>
      </c>
      <c r="C1438" s="12">
        <v>11.425626158597892</v>
      </c>
      <c r="D1438" s="5">
        <f t="shared" si="42"/>
        <v>9</v>
      </c>
      <c r="Q1438" s="4">
        <v>69642</v>
      </c>
      <c r="R1438" s="7">
        <v>38.28539669635947</v>
      </c>
      <c r="S1438" s="7">
        <v>52.694497423232995</v>
      </c>
      <c r="T1438" s="8">
        <v>0.5304124629285375</v>
      </c>
      <c r="U1438" s="7">
        <v>50.844592070530453</v>
      </c>
    </row>
    <row r="1439" spans="1:21" x14ac:dyDescent="0.3">
      <c r="A1439" s="4">
        <v>69672</v>
      </c>
      <c r="B1439" s="13">
        <f t="shared" si="41"/>
        <v>63.191833500000001</v>
      </c>
      <c r="C1439" s="12">
        <v>7.4071038565307425</v>
      </c>
      <c r="D1439" s="5">
        <f t="shared" si="42"/>
        <v>10</v>
      </c>
      <c r="Q1439" s="4">
        <v>69672</v>
      </c>
      <c r="R1439" s="7">
        <v>18.180127297219396</v>
      </c>
      <c r="S1439" s="7">
        <v>51.637977500181279</v>
      </c>
      <c r="T1439" s="8">
        <v>6.9475298792329762E-2</v>
      </c>
      <c r="U1439" s="7">
        <v>60.03774552829298</v>
      </c>
    </row>
    <row r="1440" spans="1:21" x14ac:dyDescent="0.3">
      <c r="A1440" s="4">
        <v>69703</v>
      </c>
      <c r="B1440" s="13">
        <f t="shared" si="41"/>
        <v>56.554890899999997</v>
      </c>
      <c r="C1440" s="12">
        <v>99.118031328544006</v>
      </c>
      <c r="D1440" s="5">
        <f t="shared" si="42"/>
        <v>11</v>
      </c>
      <c r="Q1440" s="4">
        <v>69703</v>
      </c>
      <c r="R1440" s="7">
        <v>214.8209960642082</v>
      </c>
      <c r="S1440" s="7">
        <v>221.31838457287822</v>
      </c>
      <c r="T1440" s="8">
        <v>0.60433132997743955</v>
      </c>
      <c r="U1440" s="7">
        <v>217.75692294722089</v>
      </c>
    </row>
    <row r="1441" spans="1:21" x14ac:dyDescent="0.3">
      <c r="A1441" s="4">
        <v>69733</v>
      </c>
      <c r="B1441" s="13">
        <f t="shared" si="41"/>
        <v>117.2500866</v>
      </c>
      <c r="C1441" s="12">
        <v>54.650986479828113</v>
      </c>
      <c r="D1441" s="5">
        <f t="shared" si="42"/>
        <v>12</v>
      </c>
      <c r="Q1441" s="4">
        <v>69733</v>
      </c>
      <c r="R1441" s="7">
        <v>115.29909172263635</v>
      </c>
      <c r="S1441" s="7">
        <v>131.02765477930811</v>
      </c>
      <c r="T1441" s="8">
        <v>0.13074384800796821</v>
      </c>
      <c r="U1441" s="7">
        <v>129.45895921451046</v>
      </c>
    </row>
    <row r="1442" spans="1:21" x14ac:dyDescent="0.3">
      <c r="A1442" s="4">
        <v>69764</v>
      </c>
      <c r="B1442" s="13">
        <f t="shared" si="41"/>
        <v>55.145026199999997</v>
      </c>
      <c r="C1442" s="12">
        <v>119.79933857219305</v>
      </c>
      <c r="D1442" s="5">
        <f t="shared" si="42"/>
        <v>1</v>
      </c>
      <c r="Q1442" s="4">
        <v>69764</v>
      </c>
      <c r="R1442" s="7">
        <v>164.72738646865974</v>
      </c>
      <c r="S1442" s="7">
        <v>158.73422059531381</v>
      </c>
      <c r="T1442" s="8">
        <v>0.57279571870161039</v>
      </c>
      <c r="U1442" s="7">
        <v>160.71517132094542</v>
      </c>
    </row>
    <row r="1443" spans="1:21" x14ac:dyDescent="0.3">
      <c r="A1443" s="4">
        <v>69795</v>
      </c>
      <c r="B1443" s="13">
        <f t="shared" si="41"/>
        <v>171.9828191</v>
      </c>
      <c r="C1443" s="12">
        <v>52.011902304366195</v>
      </c>
      <c r="D1443" s="5">
        <f t="shared" si="42"/>
        <v>2</v>
      </c>
      <c r="Q1443" s="4">
        <v>69795</v>
      </c>
      <c r="R1443" s="7">
        <v>101.64270679798425</v>
      </c>
      <c r="S1443" s="7">
        <v>120.7976671163366</v>
      </c>
      <c r="T1443" s="8">
        <v>0.19712886099704235</v>
      </c>
      <c r="U1443" s="7">
        <v>121.11612125870869</v>
      </c>
    </row>
    <row r="1444" spans="1:21" x14ac:dyDescent="0.3">
      <c r="A1444" s="4">
        <v>69823</v>
      </c>
      <c r="B1444" s="13">
        <f t="shared" si="41"/>
        <v>284.58998639999999</v>
      </c>
      <c r="C1444" s="12">
        <v>10.353710374329237</v>
      </c>
      <c r="D1444" s="5">
        <f t="shared" si="42"/>
        <v>3</v>
      </c>
      <c r="Q1444" s="4">
        <v>69823</v>
      </c>
      <c r="R1444" s="7">
        <v>22.063050978682035</v>
      </c>
      <c r="S1444" s="7">
        <v>25.793316629469086</v>
      </c>
      <c r="T1444" s="8">
        <v>4.5034515613813818E-3</v>
      </c>
      <c r="U1444" s="7">
        <v>26.725694463916575</v>
      </c>
    </row>
    <row r="1445" spans="1:21" x14ac:dyDescent="0.3">
      <c r="A1445" s="4">
        <v>69854</v>
      </c>
      <c r="B1445" s="13">
        <f t="shared" si="41"/>
        <v>181.14749900000001</v>
      </c>
      <c r="C1445" s="12">
        <v>40.329348994418886</v>
      </c>
      <c r="D1445" s="5">
        <f t="shared" si="42"/>
        <v>4</v>
      </c>
      <c r="Q1445" s="4">
        <v>69854</v>
      </c>
      <c r="R1445" s="7">
        <v>75.948704178340591</v>
      </c>
      <c r="S1445" s="7">
        <v>68.962016742013304</v>
      </c>
      <c r="T1445" s="8">
        <v>0.14229011590006055</v>
      </c>
      <c r="U1445" s="7">
        <v>68.978853822371846</v>
      </c>
    </row>
    <row r="1446" spans="1:21" x14ac:dyDescent="0.3">
      <c r="A1446" s="4">
        <v>69884</v>
      </c>
      <c r="B1446" s="13">
        <f t="shared" si="41"/>
        <v>296.63207670000003</v>
      </c>
      <c r="C1446" s="12">
        <v>78.521112300222669</v>
      </c>
      <c r="D1446" s="5">
        <f t="shared" si="42"/>
        <v>5</v>
      </c>
      <c r="Q1446" s="4">
        <v>69884</v>
      </c>
      <c r="R1446" s="7">
        <v>133.4229102539569</v>
      </c>
      <c r="S1446" s="7">
        <v>132.51090324226365</v>
      </c>
      <c r="T1446" s="8">
        <v>0.71965132141494093</v>
      </c>
      <c r="U1446" s="7">
        <v>131.54910416870044</v>
      </c>
    </row>
    <row r="1447" spans="1:21" x14ac:dyDescent="0.3">
      <c r="A1447" s="4">
        <v>69915</v>
      </c>
      <c r="B1447" s="13">
        <f t="shared" si="41"/>
        <v>310.987437</v>
      </c>
      <c r="C1447" s="12">
        <v>133.92531650606546</v>
      </c>
      <c r="D1447" s="5">
        <f t="shared" si="42"/>
        <v>6</v>
      </c>
      <c r="Q1447" s="4">
        <v>69915</v>
      </c>
      <c r="R1447" s="7">
        <v>135.68991067414834</v>
      </c>
      <c r="S1447" s="7">
        <v>88.998361285303716</v>
      </c>
      <c r="T1447" s="8">
        <v>0.97246326817054707</v>
      </c>
      <c r="U1447" s="7">
        <v>88.491109184165055</v>
      </c>
    </row>
    <row r="1448" spans="1:21" x14ac:dyDescent="0.3">
      <c r="A1448" s="4">
        <v>69945</v>
      </c>
      <c r="B1448" s="13">
        <f t="shared" si="41"/>
        <v>95.8687106</v>
      </c>
      <c r="C1448" s="12">
        <v>0</v>
      </c>
      <c r="D1448" s="5">
        <f t="shared" si="42"/>
        <v>7</v>
      </c>
      <c r="Q1448" s="4">
        <v>69945</v>
      </c>
      <c r="R1448" s="7">
        <v>0</v>
      </c>
      <c r="S1448" s="7">
        <v>0</v>
      </c>
      <c r="T1448" s="8">
        <v>0</v>
      </c>
      <c r="U1448" s="7">
        <v>0</v>
      </c>
    </row>
    <row r="1449" spans="1:21" x14ac:dyDescent="0.3">
      <c r="A1449" s="4">
        <v>69976</v>
      </c>
      <c r="B1449" s="13">
        <f t="shared" si="41"/>
        <v>78.962689800000007</v>
      </c>
      <c r="C1449" s="12">
        <v>0</v>
      </c>
      <c r="D1449" s="5">
        <f t="shared" si="42"/>
        <v>8</v>
      </c>
      <c r="Q1449" s="4">
        <v>69976</v>
      </c>
      <c r="R1449" s="7">
        <v>0</v>
      </c>
      <c r="S1449" s="7">
        <v>0</v>
      </c>
      <c r="T1449" s="8">
        <v>0</v>
      </c>
      <c r="U1449" s="7">
        <v>0</v>
      </c>
    </row>
    <row r="1450" spans="1:21" x14ac:dyDescent="0.3">
      <c r="A1450" s="4">
        <v>70007</v>
      </c>
      <c r="B1450" s="13">
        <f t="shared" si="41"/>
        <v>11.2363342</v>
      </c>
      <c r="C1450" s="12">
        <v>9.2142668872838911</v>
      </c>
      <c r="D1450" s="5">
        <f t="shared" si="42"/>
        <v>9</v>
      </c>
      <c r="Q1450" s="4">
        <v>70007</v>
      </c>
      <c r="R1450" s="7">
        <v>30.875494974980342</v>
      </c>
      <c r="S1450" s="7">
        <v>46.124346709555631</v>
      </c>
      <c r="T1450" s="8">
        <v>0.47184406038885462</v>
      </c>
      <c r="U1450" s="7">
        <v>44.883081266847356</v>
      </c>
    </row>
    <row r="1451" spans="1:21" x14ac:dyDescent="0.3">
      <c r="A1451" s="4">
        <v>70037</v>
      </c>
      <c r="B1451" s="13">
        <f t="shared" si="41"/>
        <v>40.150991300000001</v>
      </c>
      <c r="C1451" s="12">
        <v>32.247741124592736</v>
      </c>
      <c r="D1451" s="5">
        <f t="shared" si="42"/>
        <v>10</v>
      </c>
      <c r="Q1451" s="4">
        <v>70037</v>
      </c>
      <c r="R1451" s="7">
        <v>79.149428717131912</v>
      </c>
      <c r="S1451" s="7">
        <v>120.46184097680187</v>
      </c>
      <c r="T1451" s="8">
        <v>0.33223840432939217</v>
      </c>
      <c r="U1451" s="7">
        <v>120.6206332463251</v>
      </c>
    </row>
    <row r="1452" spans="1:21" x14ac:dyDescent="0.3">
      <c r="A1452" s="4">
        <v>70068</v>
      </c>
      <c r="B1452" s="13">
        <f t="shared" si="41"/>
        <v>57.343269999999997</v>
      </c>
      <c r="C1452" s="12">
        <v>0.47249577664843018</v>
      </c>
      <c r="D1452" s="5">
        <f t="shared" si="42"/>
        <v>11</v>
      </c>
      <c r="Q1452" s="4">
        <v>70068</v>
      </c>
      <c r="R1452" s="7">
        <v>1.0240519511460158</v>
      </c>
      <c r="S1452" s="7">
        <v>8.9443572175689781</v>
      </c>
      <c r="T1452" s="8">
        <v>1.2866859293352448E-6</v>
      </c>
      <c r="U1452" s="7">
        <v>14.906733593690031</v>
      </c>
    </row>
    <row r="1453" spans="1:21" x14ac:dyDescent="0.3">
      <c r="A1453" s="4">
        <v>70098</v>
      </c>
      <c r="B1453" s="13">
        <f t="shared" si="41"/>
        <v>170.21428990000001</v>
      </c>
      <c r="C1453" s="12">
        <v>27.953898429404912</v>
      </c>
      <c r="D1453" s="5">
        <f t="shared" si="42"/>
        <v>12</v>
      </c>
      <c r="Q1453" s="4">
        <v>70098</v>
      </c>
      <c r="R1453" s="7">
        <v>58.975314200538001</v>
      </c>
      <c r="S1453" s="7">
        <v>74.559844719604456</v>
      </c>
      <c r="T1453" s="8">
        <v>1.6564065840436366E-2</v>
      </c>
      <c r="U1453" s="7">
        <v>74.543941800031575</v>
      </c>
    </row>
    <row r="1454" spans="1:21" x14ac:dyDescent="0.3">
      <c r="A1454" s="4">
        <v>70129</v>
      </c>
      <c r="B1454" s="13">
        <f t="shared" si="41"/>
        <v>250.89636429999999</v>
      </c>
      <c r="C1454" s="12">
        <v>29.954782139975666</v>
      </c>
      <c r="D1454" s="5">
        <f t="shared" si="42"/>
        <v>1</v>
      </c>
      <c r="Q1454" s="4">
        <v>70129</v>
      </c>
      <c r="R1454" s="7">
        <v>41.188649561556161</v>
      </c>
      <c r="S1454" s="7">
        <v>25.5133604436278</v>
      </c>
      <c r="T1454" s="8">
        <v>1.1847035502839172E-2</v>
      </c>
      <c r="U1454" s="7">
        <v>22.538729844504015</v>
      </c>
    </row>
    <row r="1455" spans="1:21" x14ac:dyDescent="0.3">
      <c r="A1455" s="4">
        <v>70160</v>
      </c>
      <c r="B1455" s="13">
        <f t="shared" si="41"/>
        <v>306.42772009999999</v>
      </c>
      <c r="C1455" s="12">
        <v>78.952806454617445</v>
      </c>
      <c r="D1455" s="5">
        <f t="shared" si="42"/>
        <v>2</v>
      </c>
      <c r="Q1455" s="4">
        <v>70160</v>
      </c>
      <c r="R1455" s="7">
        <v>154.29116417207095</v>
      </c>
      <c r="S1455" s="7">
        <v>166.89705037842302</v>
      </c>
      <c r="T1455" s="8">
        <v>0.4173314861060084</v>
      </c>
      <c r="U1455" s="7">
        <v>165.74492165934458</v>
      </c>
    </row>
    <row r="1456" spans="1:21" x14ac:dyDescent="0.3">
      <c r="A1456" s="4">
        <v>70189</v>
      </c>
      <c r="B1456" s="13">
        <f t="shared" si="41"/>
        <v>262.97060329999999</v>
      </c>
      <c r="C1456" s="12">
        <v>0.93199653301780883</v>
      </c>
      <c r="D1456" s="5">
        <f t="shared" si="42"/>
        <v>3</v>
      </c>
      <c r="Q1456" s="4">
        <v>70189</v>
      </c>
      <c r="R1456" s="7">
        <v>1.9860210761650727</v>
      </c>
      <c r="S1456" s="7">
        <v>2.7918045865335634</v>
      </c>
      <c r="T1456" s="8">
        <v>9.3225175513771089E-7</v>
      </c>
      <c r="U1456" s="7">
        <v>3.2642615677273081</v>
      </c>
    </row>
    <row r="1457" spans="1:21" x14ac:dyDescent="0.3">
      <c r="A1457" s="4">
        <v>70220</v>
      </c>
      <c r="B1457" s="13">
        <f t="shared" si="41"/>
        <v>154.41353050000001</v>
      </c>
      <c r="C1457" s="12">
        <v>26.404065254610028</v>
      </c>
      <c r="D1457" s="5">
        <f t="shared" si="42"/>
        <v>4</v>
      </c>
      <c r="Q1457" s="4">
        <v>70220</v>
      </c>
      <c r="R1457" s="7">
        <v>49.724446120007947</v>
      </c>
      <c r="S1457" s="7">
        <v>42.709482329554866</v>
      </c>
      <c r="T1457" s="8">
        <v>3.7222955625506801E-2</v>
      </c>
      <c r="U1457" s="7">
        <v>42.141824508390975</v>
      </c>
    </row>
    <row r="1458" spans="1:21" x14ac:dyDescent="0.3">
      <c r="A1458" s="4">
        <v>70250</v>
      </c>
      <c r="B1458" s="13">
        <f t="shared" si="41"/>
        <v>75.799286199999997</v>
      </c>
      <c r="C1458" s="12">
        <v>33.357610114035289</v>
      </c>
      <c r="D1458" s="5">
        <f t="shared" si="42"/>
        <v>5</v>
      </c>
      <c r="Q1458" s="4">
        <v>70250</v>
      </c>
      <c r="R1458" s="7">
        <v>56.681181533884029</v>
      </c>
      <c r="S1458" s="7">
        <v>64.187635609301395</v>
      </c>
      <c r="T1458" s="8">
        <v>0.2691852740975047</v>
      </c>
      <c r="U1458" s="7">
        <v>63.483014914954239</v>
      </c>
    </row>
    <row r="1459" spans="1:21" x14ac:dyDescent="0.3">
      <c r="A1459" s="4">
        <v>70281</v>
      </c>
      <c r="B1459" s="13">
        <f t="shared" si="41"/>
        <v>118.5327437</v>
      </c>
      <c r="C1459" s="12">
        <v>42.265886091627088</v>
      </c>
      <c r="D1459" s="5">
        <f t="shared" si="42"/>
        <v>6</v>
      </c>
      <c r="Q1459" s="4">
        <v>70281</v>
      </c>
      <c r="R1459" s="7">
        <v>42.822779575636609</v>
      </c>
      <c r="S1459" s="7">
        <v>43.401138730692615</v>
      </c>
      <c r="T1459" s="8">
        <v>0.75955842879590718</v>
      </c>
      <c r="U1459" s="7">
        <v>42.286449405600742</v>
      </c>
    </row>
    <row r="1460" spans="1:21" x14ac:dyDescent="0.3">
      <c r="A1460" s="4">
        <v>70311</v>
      </c>
      <c r="B1460" s="13">
        <f t="shared" si="41"/>
        <v>186.28224929999999</v>
      </c>
      <c r="C1460" s="12">
        <v>0.53789032517670432</v>
      </c>
      <c r="D1460" s="5">
        <f t="shared" si="42"/>
        <v>7</v>
      </c>
      <c r="Q1460" s="4">
        <v>70311</v>
      </c>
      <c r="R1460" s="7">
        <v>1.9464566534702457</v>
      </c>
      <c r="S1460" s="7">
        <v>4.448357651405793</v>
      </c>
      <c r="T1460" s="8">
        <v>0.15329765130921919</v>
      </c>
      <c r="U1460" s="7">
        <v>6.1469737577015353</v>
      </c>
    </row>
    <row r="1461" spans="1:21" x14ac:dyDescent="0.3">
      <c r="A1461" s="4">
        <v>70342</v>
      </c>
      <c r="B1461" s="13">
        <f t="shared" si="41"/>
        <v>71.746521400000006</v>
      </c>
      <c r="C1461" s="12">
        <v>0</v>
      </c>
      <c r="D1461" s="5">
        <f t="shared" si="42"/>
        <v>8</v>
      </c>
      <c r="Q1461" s="4">
        <v>70342</v>
      </c>
      <c r="R1461" s="7">
        <v>0</v>
      </c>
      <c r="S1461" s="7">
        <v>0</v>
      </c>
      <c r="T1461" s="8">
        <v>0</v>
      </c>
      <c r="U1461" s="7">
        <v>0</v>
      </c>
    </row>
    <row r="1462" spans="1:21" x14ac:dyDescent="0.3">
      <c r="A1462" s="4">
        <v>70373</v>
      </c>
      <c r="B1462" s="13">
        <f t="shared" si="41"/>
        <v>21.484575899999999</v>
      </c>
      <c r="C1462" s="12">
        <v>1.4575790558524218E-2</v>
      </c>
      <c r="D1462" s="5">
        <f t="shared" si="42"/>
        <v>9</v>
      </c>
      <c r="Q1462" s="4">
        <v>70373</v>
      </c>
      <c r="R1462" s="7">
        <v>4.8841080213028E-2</v>
      </c>
      <c r="S1462" s="7">
        <v>0.85106209216564788</v>
      </c>
      <c r="T1462" s="8">
        <v>6.1260205876938929E-3</v>
      </c>
      <c r="U1462" s="7">
        <v>2.1074590888956002</v>
      </c>
    </row>
    <row r="1463" spans="1:21" x14ac:dyDescent="0.3">
      <c r="A1463" s="4">
        <v>70403</v>
      </c>
      <c r="B1463" s="13">
        <f t="shared" si="41"/>
        <v>4.7826126999999996</v>
      </c>
      <c r="C1463" s="12">
        <v>10.980489540088444</v>
      </c>
      <c r="D1463" s="5">
        <f t="shared" si="42"/>
        <v>10</v>
      </c>
      <c r="Q1463" s="4">
        <v>70403</v>
      </c>
      <c r="R1463" s="7">
        <v>26.950708602335286</v>
      </c>
      <c r="S1463" s="7">
        <v>64.777419880535831</v>
      </c>
      <c r="T1463" s="8">
        <v>0.10852246858599016</v>
      </c>
      <c r="U1463" s="7">
        <v>71.640925163565853</v>
      </c>
    </row>
    <row r="1464" spans="1:21" x14ac:dyDescent="0.3">
      <c r="A1464" s="4">
        <v>70434</v>
      </c>
      <c r="B1464" s="13">
        <f t="shared" si="41"/>
        <v>31.767519499999999</v>
      </c>
      <c r="C1464" s="12">
        <v>74.806294986046922</v>
      </c>
      <c r="D1464" s="5">
        <f t="shared" si="42"/>
        <v>11</v>
      </c>
      <c r="Q1464" s="4">
        <v>70434</v>
      </c>
      <c r="R1464" s="7">
        <v>162.12955993353913</v>
      </c>
      <c r="S1464" s="7">
        <v>186.9247920506069</v>
      </c>
      <c r="T1464" s="8">
        <v>0.42576636181300226</v>
      </c>
      <c r="U1464" s="7">
        <v>182.84639140662378</v>
      </c>
    </row>
    <row r="1465" spans="1:21" x14ac:dyDescent="0.3">
      <c r="A1465" s="4">
        <v>70464</v>
      </c>
      <c r="B1465" s="13">
        <f t="shared" si="41"/>
        <v>63.881723899999997</v>
      </c>
      <c r="C1465" s="12">
        <v>89.75792286219064</v>
      </c>
      <c r="D1465" s="5">
        <f t="shared" si="42"/>
        <v>12</v>
      </c>
      <c r="Q1465" s="4">
        <v>70464</v>
      </c>
      <c r="R1465" s="7">
        <v>189.36541950145576</v>
      </c>
      <c r="S1465" s="7">
        <v>198.87233553234663</v>
      </c>
      <c r="T1465" s="8">
        <v>0.40499031573618566</v>
      </c>
      <c r="U1465" s="7">
        <v>196.75832906144714</v>
      </c>
    </row>
    <row r="1466" spans="1:21" x14ac:dyDescent="0.3">
      <c r="A1466" s="4">
        <v>70495</v>
      </c>
      <c r="B1466" s="13">
        <f t="shared" si="41"/>
        <v>332.53692849999999</v>
      </c>
      <c r="C1466" s="12">
        <v>70.251299324445412</v>
      </c>
      <c r="D1466" s="5">
        <f t="shared" si="42"/>
        <v>1</v>
      </c>
      <c r="Q1466" s="4">
        <v>70495</v>
      </c>
      <c r="R1466" s="7">
        <v>96.597469332184559</v>
      </c>
      <c r="S1466" s="7">
        <v>78.518562888729136</v>
      </c>
      <c r="T1466" s="8">
        <v>0.18966559326998211</v>
      </c>
      <c r="U1466" s="7">
        <v>77.845325837313212</v>
      </c>
    </row>
    <row r="1467" spans="1:21" x14ac:dyDescent="0.3">
      <c r="A1467" s="4">
        <v>70526</v>
      </c>
      <c r="B1467" s="13">
        <f t="shared" si="41"/>
        <v>253.2747244</v>
      </c>
      <c r="C1467" s="12">
        <v>27.871448162477474</v>
      </c>
      <c r="D1467" s="5">
        <f t="shared" si="42"/>
        <v>2</v>
      </c>
      <c r="Q1467" s="4">
        <v>70526</v>
      </c>
      <c r="R1467" s="7">
        <v>54.466945220269352</v>
      </c>
      <c r="S1467" s="7">
        <v>74.509609649832313</v>
      </c>
      <c r="T1467" s="8">
        <v>4.6611124221557262E-2</v>
      </c>
      <c r="U1467" s="7">
        <v>77.016629453453675</v>
      </c>
    </row>
    <row r="1468" spans="1:21" x14ac:dyDescent="0.3">
      <c r="A1468" s="4">
        <v>70554</v>
      </c>
      <c r="B1468" s="13">
        <f t="shared" si="41"/>
        <v>287.70162800000003</v>
      </c>
      <c r="C1468" s="12">
        <v>35.446396545739859</v>
      </c>
      <c r="D1468" s="5">
        <f t="shared" si="42"/>
        <v>3</v>
      </c>
      <c r="Q1468" s="4">
        <v>70554</v>
      </c>
      <c r="R1468" s="7">
        <v>75.533854601365803</v>
      </c>
      <c r="S1468" s="7">
        <v>80.364210245510378</v>
      </c>
      <c r="T1468" s="8">
        <v>0.15746928482766209</v>
      </c>
      <c r="U1468" s="7">
        <v>80.554421171751017</v>
      </c>
    </row>
    <row r="1469" spans="1:21" x14ac:dyDescent="0.3">
      <c r="A1469" s="4">
        <v>70585</v>
      </c>
      <c r="B1469" s="13">
        <f t="shared" si="41"/>
        <v>93.674177</v>
      </c>
      <c r="C1469" s="12">
        <v>5.1329054767848019</v>
      </c>
      <c r="D1469" s="5">
        <f t="shared" si="42"/>
        <v>4</v>
      </c>
      <c r="Q1469" s="4">
        <v>70585</v>
      </c>
      <c r="R1469" s="7">
        <v>9.6663479414374436</v>
      </c>
      <c r="S1469" s="7">
        <v>6.6971434786083526</v>
      </c>
      <c r="T1469" s="8">
        <v>4.3354171697202502E-5</v>
      </c>
      <c r="U1469" s="7">
        <v>5.8883591688863808</v>
      </c>
    </row>
    <row r="1470" spans="1:21" x14ac:dyDescent="0.3">
      <c r="A1470" s="4">
        <v>70615</v>
      </c>
      <c r="B1470" s="13">
        <f t="shared" si="41"/>
        <v>219.35314030000001</v>
      </c>
      <c r="C1470" s="12">
        <v>3.4875240180554159</v>
      </c>
      <c r="D1470" s="5">
        <f t="shared" si="42"/>
        <v>5</v>
      </c>
      <c r="Q1470" s="4">
        <v>70615</v>
      </c>
      <c r="R1470" s="7">
        <v>5.9259935377686617</v>
      </c>
      <c r="S1470" s="7">
        <v>9.4863698078700427</v>
      </c>
      <c r="T1470" s="8">
        <v>3.3840064459409961E-3</v>
      </c>
      <c r="U1470" s="7">
        <v>10.369136698605828</v>
      </c>
    </row>
    <row r="1471" spans="1:21" x14ac:dyDescent="0.3">
      <c r="A1471" s="4">
        <v>70646</v>
      </c>
      <c r="B1471" s="13">
        <f t="shared" si="41"/>
        <v>120.72031680000001</v>
      </c>
      <c r="C1471" s="12">
        <v>3.1612821032922421E-2</v>
      </c>
      <c r="D1471" s="5">
        <f t="shared" si="42"/>
        <v>6</v>
      </c>
      <c r="Q1471" s="4">
        <v>70646</v>
      </c>
      <c r="R1471" s="7">
        <v>3.2029350193253481E-2</v>
      </c>
      <c r="S1471" s="7">
        <v>0.49084042089694779</v>
      </c>
      <c r="T1471" s="8">
        <v>1.2942946543716796E-2</v>
      </c>
      <c r="U1471" s="7">
        <v>1.8325814745075317</v>
      </c>
    </row>
    <row r="1472" spans="1:21" x14ac:dyDescent="0.3">
      <c r="A1472" s="4">
        <v>70676</v>
      </c>
      <c r="B1472" s="13">
        <f t="shared" ref="B1472:B1535" si="43">B1091</f>
        <v>47.585153300000002</v>
      </c>
      <c r="C1472" s="12">
        <v>1.2461891601844853E-2</v>
      </c>
      <c r="D1472" s="5">
        <f t="shared" si="42"/>
        <v>7</v>
      </c>
      <c r="Q1472" s="4">
        <v>70676</v>
      </c>
      <c r="R1472" s="7">
        <v>4.509568342815478E-2</v>
      </c>
      <c r="S1472" s="7">
        <v>0.29087799347316406</v>
      </c>
      <c r="T1472" s="8">
        <v>1.3559225239682293E-2</v>
      </c>
      <c r="U1472" s="7">
        <v>0.87488309904328343</v>
      </c>
    </row>
    <row r="1473" spans="1:21" x14ac:dyDescent="0.3">
      <c r="A1473" s="4">
        <v>70707</v>
      </c>
      <c r="B1473" s="13">
        <f t="shared" si="43"/>
        <v>199.48006409999999</v>
      </c>
      <c r="C1473" s="12">
        <v>0</v>
      </c>
      <c r="D1473" s="5">
        <f t="shared" si="42"/>
        <v>8</v>
      </c>
      <c r="Q1473" s="4">
        <v>70707</v>
      </c>
      <c r="R1473" s="7">
        <v>0</v>
      </c>
      <c r="S1473" s="7">
        <v>0</v>
      </c>
      <c r="T1473" s="8">
        <v>0</v>
      </c>
      <c r="U1473" s="7">
        <v>0</v>
      </c>
    </row>
    <row r="1474" spans="1:21" x14ac:dyDescent="0.3">
      <c r="A1474" s="4">
        <v>70738</v>
      </c>
      <c r="B1474" s="13">
        <f t="shared" si="43"/>
        <v>28.547926499999999</v>
      </c>
      <c r="C1474" s="12">
        <v>1.331255214608972</v>
      </c>
      <c r="D1474" s="5">
        <f t="shared" si="42"/>
        <v>9</v>
      </c>
      <c r="Q1474" s="4">
        <v>70738</v>
      </c>
      <c r="R1474" s="7">
        <v>4.4608175769034792</v>
      </c>
      <c r="S1474" s="7">
        <v>13.924190384306989</v>
      </c>
      <c r="T1474" s="8">
        <v>0.13871058052807453</v>
      </c>
      <c r="U1474" s="7">
        <v>16.217690492600941</v>
      </c>
    </row>
    <row r="1475" spans="1:21" x14ac:dyDescent="0.3">
      <c r="A1475" s="4">
        <v>70768</v>
      </c>
      <c r="B1475" s="13">
        <f t="shared" si="43"/>
        <v>3.2116576000000001</v>
      </c>
      <c r="C1475" s="12">
        <v>25.41104091214946</v>
      </c>
      <c r="D1475" s="5">
        <f t="shared" ref="D1475:D1538" si="44">MONTH(A1475)</f>
        <v>10</v>
      </c>
      <c r="Q1475" s="4">
        <v>70768</v>
      </c>
      <c r="R1475" s="7">
        <v>62.369310257531943</v>
      </c>
      <c r="S1475" s="7">
        <v>105.0177427890318</v>
      </c>
      <c r="T1475" s="8">
        <v>0.26417626927401044</v>
      </c>
      <c r="U1475" s="7">
        <v>106.90722908987993</v>
      </c>
    </row>
    <row r="1476" spans="1:21" x14ac:dyDescent="0.3">
      <c r="A1476" s="4">
        <v>70799</v>
      </c>
      <c r="B1476" s="13">
        <f t="shared" si="43"/>
        <v>14.8774441</v>
      </c>
      <c r="C1476" s="12">
        <v>36.685900704469482</v>
      </c>
      <c r="D1476" s="5">
        <f t="shared" si="44"/>
        <v>11</v>
      </c>
      <c r="Q1476" s="4">
        <v>70799</v>
      </c>
      <c r="R1476" s="7">
        <v>79.510273006978395</v>
      </c>
      <c r="S1476" s="7">
        <v>121.88440784715574</v>
      </c>
      <c r="T1476" s="8">
        <v>0.12117637099538721</v>
      </c>
      <c r="U1476" s="7">
        <v>120.43641804187581</v>
      </c>
    </row>
    <row r="1477" spans="1:21" x14ac:dyDescent="0.3">
      <c r="A1477" s="4">
        <v>70829</v>
      </c>
      <c r="B1477" s="13">
        <f t="shared" si="43"/>
        <v>73.299382199999997</v>
      </c>
      <c r="C1477" s="12">
        <v>17.579469954944212</v>
      </c>
      <c r="D1477" s="5">
        <f t="shared" si="44"/>
        <v>12</v>
      </c>
      <c r="Q1477" s="4">
        <v>70829</v>
      </c>
      <c r="R1477" s="7">
        <v>37.088020717038255</v>
      </c>
      <c r="S1477" s="7">
        <v>50.477694525581782</v>
      </c>
      <c r="T1477" s="8">
        <v>3.1476349070727366E-3</v>
      </c>
      <c r="U1477" s="7">
        <v>51.29127215914388</v>
      </c>
    </row>
    <row r="1478" spans="1:21" x14ac:dyDescent="0.3">
      <c r="A1478" s="4">
        <v>70860</v>
      </c>
      <c r="B1478" s="13">
        <f t="shared" si="43"/>
        <v>46.367444399999997</v>
      </c>
      <c r="C1478" s="12">
        <v>159.64019884122544</v>
      </c>
      <c r="D1478" s="5">
        <f t="shared" si="44"/>
        <v>1</v>
      </c>
      <c r="Q1478" s="4">
        <v>70860</v>
      </c>
      <c r="R1478" s="7">
        <v>219.50966544448121</v>
      </c>
      <c r="S1478" s="7">
        <v>231.79766155345968</v>
      </c>
      <c r="T1478" s="8">
        <v>0.79875970621378001</v>
      </c>
      <c r="U1478" s="7">
        <v>233.50734190409236</v>
      </c>
    </row>
    <row r="1479" spans="1:21" x14ac:dyDescent="0.3">
      <c r="A1479" s="4">
        <v>70891</v>
      </c>
      <c r="B1479" s="13">
        <f t="shared" si="43"/>
        <v>393.89061720000001</v>
      </c>
      <c r="C1479" s="12">
        <v>74.496569624170618</v>
      </c>
      <c r="D1479" s="5">
        <f t="shared" si="44"/>
        <v>2</v>
      </c>
      <c r="Q1479" s="4">
        <v>70891</v>
      </c>
      <c r="R1479" s="7">
        <v>145.58269642695902</v>
      </c>
      <c r="S1479" s="7">
        <v>159.55372659081667</v>
      </c>
      <c r="T1479" s="8">
        <v>0.38082344690577941</v>
      </c>
      <c r="U1479" s="7">
        <v>158.5747234803105</v>
      </c>
    </row>
    <row r="1480" spans="1:21" x14ac:dyDescent="0.3">
      <c r="A1480" s="4">
        <v>70919</v>
      </c>
      <c r="B1480" s="13">
        <f t="shared" si="43"/>
        <v>278.4791869</v>
      </c>
      <c r="C1480" s="12">
        <v>15.158789546694619</v>
      </c>
      <c r="D1480" s="5">
        <f t="shared" si="44"/>
        <v>3</v>
      </c>
      <c r="Q1480" s="4">
        <v>70919</v>
      </c>
      <c r="R1480" s="7">
        <v>32.302347125052059</v>
      </c>
      <c r="S1480" s="7">
        <v>36.677475448918429</v>
      </c>
      <c r="T1480" s="8">
        <v>1.5131205387538676E-2</v>
      </c>
      <c r="U1480" s="7">
        <v>37.507322855360336</v>
      </c>
    </row>
    <row r="1481" spans="1:21" x14ac:dyDescent="0.3">
      <c r="A1481" s="4">
        <v>70950</v>
      </c>
      <c r="B1481" s="13">
        <f t="shared" si="43"/>
        <v>92.646544899999995</v>
      </c>
      <c r="C1481" s="12">
        <v>19.889906543539826</v>
      </c>
      <c r="D1481" s="5">
        <f t="shared" si="44"/>
        <v>4</v>
      </c>
      <c r="Q1481" s="4">
        <v>70950</v>
      </c>
      <c r="R1481" s="7">
        <v>37.456905848373559</v>
      </c>
      <c r="S1481" s="7">
        <v>30.998667993757881</v>
      </c>
      <c r="T1481" s="8">
        <v>1.3319291500168773E-2</v>
      </c>
      <c r="U1481" s="7">
        <v>30.18136275567705</v>
      </c>
    </row>
    <row r="1482" spans="1:21" x14ac:dyDescent="0.3">
      <c r="A1482" s="4">
        <v>70980</v>
      </c>
      <c r="B1482" s="13">
        <f t="shared" si="43"/>
        <v>245.68098119999999</v>
      </c>
      <c r="C1482" s="12">
        <v>2.6387709935079329</v>
      </c>
      <c r="D1482" s="5">
        <f t="shared" si="44"/>
        <v>5</v>
      </c>
      <c r="Q1482" s="4">
        <v>70980</v>
      </c>
      <c r="R1482" s="7">
        <v>4.4837941686487701</v>
      </c>
      <c r="S1482" s="7">
        <v>7.4911782599175059</v>
      </c>
      <c r="T1482" s="8">
        <v>1.8440129197941329E-3</v>
      </c>
      <c r="U1482" s="7">
        <v>8.3528396972540353</v>
      </c>
    </row>
    <row r="1483" spans="1:21" x14ac:dyDescent="0.3">
      <c r="A1483" s="4">
        <v>71011</v>
      </c>
      <c r="B1483" s="13">
        <f t="shared" si="43"/>
        <v>237.6622988</v>
      </c>
      <c r="C1483" s="12">
        <v>7.2657400014577531</v>
      </c>
      <c r="D1483" s="5">
        <f t="shared" si="44"/>
        <v>6</v>
      </c>
      <c r="Q1483" s="4">
        <v>71011</v>
      </c>
      <c r="R1483" s="7">
        <v>7.3614730769349217</v>
      </c>
      <c r="S1483" s="7">
        <v>14.498907689972889</v>
      </c>
      <c r="T1483" s="8">
        <v>0.33088290647281665</v>
      </c>
      <c r="U1483" s="7">
        <v>16.725713593663379</v>
      </c>
    </row>
    <row r="1484" spans="1:21" x14ac:dyDescent="0.3">
      <c r="A1484" s="4">
        <v>71041</v>
      </c>
      <c r="B1484" s="13">
        <f t="shared" si="43"/>
        <v>132.45578080000001</v>
      </c>
      <c r="C1484" s="12">
        <v>0.6128484205873973</v>
      </c>
      <c r="D1484" s="5">
        <f t="shared" si="44"/>
        <v>7</v>
      </c>
      <c r="Q1484" s="4">
        <v>71041</v>
      </c>
      <c r="R1484" s="7">
        <v>2.217706528611</v>
      </c>
      <c r="S1484" s="7">
        <v>4.8892726135046054</v>
      </c>
      <c r="T1484" s="8">
        <v>0.16640561904053808</v>
      </c>
      <c r="U1484" s="7">
        <v>6.6041280556461119</v>
      </c>
    </row>
    <row r="1485" spans="1:21" x14ac:dyDescent="0.3">
      <c r="A1485" s="4">
        <v>71072</v>
      </c>
      <c r="B1485" s="13">
        <f t="shared" si="43"/>
        <v>66.5582864</v>
      </c>
      <c r="C1485" s="12">
        <v>16.274987239739854</v>
      </c>
      <c r="D1485" s="5">
        <f t="shared" si="44"/>
        <v>8</v>
      </c>
      <c r="Q1485" s="4">
        <v>71072</v>
      </c>
      <c r="R1485" s="7">
        <v>88.516745446172777</v>
      </c>
      <c r="S1485" s="7">
        <v>61.474910591595091</v>
      </c>
      <c r="T1485" s="8">
        <v>0.90260260656717084</v>
      </c>
      <c r="U1485" s="7">
        <v>65.117154838019303</v>
      </c>
    </row>
    <row r="1486" spans="1:21" x14ac:dyDescent="0.3">
      <c r="A1486" s="4">
        <v>71103</v>
      </c>
      <c r="B1486" s="13">
        <f t="shared" si="43"/>
        <v>8.6148074000000001</v>
      </c>
      <c r="C1486" s="12">
        <v>13.672600005520513</v>
      </c>
      <c r="D1486" s="5">
        <f t="shared" si="44"/>
        <v>9</v>
      </c>
      <c r="Q1486" s="4">
        <v>71103</v>
      </c>
      <c r="R1486" s="7">
        <v>45.814637011214501</v>
      </c>
      <c r="S1486" s="7">
        <v>58.889315246428509</v>
      </c>
      <c r="T1486" s="8">
        <v>0.58175420066519445</v>
      </c>
      <c r="U1486" s="7">
        <v>56.550868267040826</v>
      </c>
    </row>
    <row r="1487" spans="1:21" x14ac:dyDescent="0.3">
      <c r="A1487" s="4">
        <v>71133</v>
      </c>
      <c r="B1487" s="13">
        <f t="shared" si="43"/>
        <v>32.132247599999999</v>
      </c>
      <c r="C1487" s="12">
        <v>74.908703874098151</v>
      </c>
      <c r="D1487" s="5">
        <f t="shared" si="44"/>
        <v>10</v>
      </c>
      <c r="Q1487" s="4">
        <v>71133</v>
      </c>
      <c r="R1487" s="7">
        <v>183.85725358772874</v>
      </c>
      <c r="S1487" s="7">
        <v>195.71695254247021</v>
      </c>
      <c r="T1487" s="8">
        <v>0.64998916639320536</v>
      </c>
      <c r="U1487" s="7">
        <v>190.62323528466317</v>
      </c>
    </row>
    <row r="1488" spans="1:21" x14ac:dyDescent="0.3">
      <c r="A1488" s="4">
        <v>71164</v>
      </c>
      <c r="B1488" s="13">
        <f t="shared" si="43"/>
        <v>43.015059200000003</v>
      </c>
      <c r="C1488" s="12">
        <v>82.927799667231781</v>
      </c>
      <c r="D1488" s="5">
        <f t="shared" si="44"/>
        <v>11</v>
      </c>
      <c r="Q1488" s="4">
        <v>71164</v>
      </c>
      <c r="R1488" s="7">
        <v>179.73150078897487</v>
      </c>
      <c r="S1488" s="7">
        <v>198.85298524704052</v>
      </c>
      <c r="T1488" s="8">
        <v>0.48942991714918826</v>
      </c>
      <c r="U1488" s="7">
        <v>194.79640190357466</v>
      </c>
    </row>
    <row r="1489" spans="1:21" x14ac:dyDescent="0.3">
      <c r="A1489" s="4">
        <v>71194</v>
      </c>
      <c r="B1489" s="13">
        <f t="shared" si="43"/>
        <v>75.940491399999999</v>
      </c>
      <c r="C1489" s="12">
        <v>53.179156081750989</v>
      </c>
      <c r="D1489" s="5">
        <f t="shared" si="44"/>
        <v>12</v>
      </c>
      <c r="Q1489" s="4">
        <v>71194</v>
      </c>
      <c r="R1489" s="7">
        <v>112.1939198126893</v>
      </c>
      <c r="S1489" s="7">
        <v>128.05358929433535</v>
      </c>
      <c r="T1489" s="8">
        <v>0.12146209414426867</v>
      </c>
      <c r="U1489" s="7">
        <v>126.54408099602151</v>
      </c>
    </row>
    <row r="1490" spans="1:21" x14ac:dyDescent="0.3">
      <c r="A1490" s="4">
        <v>71225</v>
      </c>
      <c r="B1490" s="13">
        <f t="shared" si="43"/>
        <v>143.45120650000001</v>
      </c>
      <c r="C1490" s="12">
        <v>162.13038536952794</v>
      </c>
      <c r="D1490" s="5">
        <f t="shared" si="44"/>
        <v>1</v>
      </c>
      <c r="Q1490" s="4">
        <v>71225</v>
      </c>
      <c r="R1490" s="7">
        <v>222.93374043116856</v>
      </c>
      <c r="S1490" s="7">
        <v>236.57793521876303</v>
      </c>
      <c r="T1490" s="8">
        <v>0.80902631010354553</v>
      </c>
      <c r="U1490" s="7">
        <v>238.18315677664046</v>
      </c>
    </row>
    <row r="1491" spans="1:21" x14ac:dyDescent="0.3">
      <c r="A1491" s="4">
        <v>71256</v>
      </c>
      <c r="B1491" s="13">
        <f t="shared" si="43"/>
        <v>309.71860800000002</v>
      </c>
      <c r="C1491" s="12">
        <v>16.546376317273818</v>
      </c>
      <c r="D1491" s="5">
        <f t="shared" si="44"/>
        <v>2</v>
      </c>
      <c r="Q1491" s="4">
        <v>71256</v>
      </c>
      <c r="R1491" s="7">
        <v>32.33526177804481</v>
      </c>
      <c r="S1491" s="7">
        <v>49.753197570873006</v>
      </c>
      <c r="T1491" s="8">
        <v>1.1506814475738612E-2</v>
      </c>
      <c r="U1491" s="7">
        <v>53.43967395353372</v>
      </c>
    </row>
    <row r="1492" spans="1:21" x14ac:dyDescent="0.3">
      <c r="A1492" s="4">
        <v>71284</v>
      </c>
      <c r="B1492" s="13">
        <f t="shared" si="43"/>
        <v>333.00541329999999</v>
      </c>
      <c r="C1492" s="12">
        <v>26.07805168081541</v>
      </c>
      <c r="D1492" s="5">
        <f t="shared" si="44"/>
        <v>3</v>
      </c>
      <c r="Q1492" s="4">
        <v>71284</v>
      </c>
      <c r="R1492" s="7">
        <v>55.570550349280921</v>
      </c>
      <c r="S1492" s="7">
        <v>60.530076072986802</v>
      </c>
      <c r="T1492" s="8">
        <v>7.2717522014838901E-2</v>
      </c>
      <c r="U1492" s="7">
        <v>61.015283180377054</v>
      </c>
    </row>
    <row r="1493" spans="1:21" x14ac:dyDescent="0.3">
      <c r="A1493" s="4">
        <v>71315</v>
      </c>
      <c r="B1493" s="13">
        <f t="shared" si="43"/>
        <v>131.2796367</v>
      </c>
      <c r="C1493" s="12">
        <v>21.683714236132815</v>
      </c>
      <c r="D1493" s="5">
        <f t="shared" si="44"/>
        <v>4</v>
      </c>
      <c r="Q1493" s="4">
        <v>71315</v>
      </c>
      <c r="R1493" s="7">
        <v>40.835025584857043</v>
      </c>
      <c r="S1493" s="7">
        <v>34.179387740288803</v>
      </c>
      <c r="T1493" s="8">
        <v>1.8387978932647913E-2</v>
      </c>
      <c r="U1493" s="7">
        <v>33.42524100356659</v>
      </c>
    </row>
    <row r="1494" spans="1:21" x14ac:dyDescent="0.3">
      <c r="A1494" s="4">
        <v>71345</v>
      </c>
      <c r="B1494" s="13">
        <f t="shared" si="43"/>
        <v>250.69021900000001</v>
      </c>
      <c r="C1494" s="12">
        <v>9.0111568963493947E-9</v>
      </c>
      <c r="D1494" s="5">
        <f t="shared" si="44"/>
        <v>5</v>
      </c>
      <c r="Q1494" s="4">
        <v>71345</v>
      </c>
      <c r="R1494" s="7">
        <v>1.5311739004269563E-8</v>
      </c>
      <c r="S1494" s="7">
        <v>5.0788186841583856E-7</v>
      </c>
      <c r="T1494" s="8">
        <v>1.6681716448757023E-22</v>
      </c>
      <c r="U1494" s="7">
        <v>3.5979004540274825E-6</v>
      </c>
    </row>
    <row r="1495" spans="1:21" x14ac:dyDescent="0.3">
      <c r="A1495" s="4">
        <v>71376</v>
      </c>
      <c r="B1495" s="13">
        <f t="shared" si="43"/>
        <v>118.38131490000001</v>
      </c>
      <c r="C1495" s="12">
        <v>0</v>
      </c>
      <c r="D1495" s="5">
        <f t="shared" si="44"/>
        <v>6</v>
      </c>
      <c r="Q1495" s="4">
        <v>71376</v>
      </c>
      <c r="R1495" s="7">
        <v>0</v>
      </c>
      <c r="S1495" s="7">
        <v>0</v>
      </c>
      <c r="T1495" s="8">
        <v>0</v>
      </c>
      <c r="U1495" s="7">
        <v>0</v>
      </c>
    </row>
    <row r="1496" spans="1:21" x14ac:dyDescent="0.3">
      <c r="A1496" s="4">
        <v>71406</v>
      </c>
      <c r="B1496" s="13">
        <f t="shared" si="43"/>
        <v>107.1615019</v>
      </c>
      <c r="C1496" s="12">
        <v>0</v>
      </c>
      <c r="D1496" s="5">
        <f t="shared" si="44"/>
        <v>7</v>
      </c>
      <c r="Q1496" s="4">
        <v>71406</v>
      </c>
      <c r="R1496" s="7">
        <v>0</v>
      </c>
      <c r="S1496" s="7">
        <v>0</v>
      </c>
      <c r="T1496" s="8">
        <v>0</v>
      </c>
      <c r="U1496" s="7">
        <v>0</v>
      </c>
    </row>
    <row r="1497" spans="1:21" x14ac:dyDescent="0.3">
      <c r="A1497" s="4">
        <v>71437</v>
      </c>
      <c r="B1497" s="13">
        <f t="shared" si="43"/>
        <v>69.903994800000007</v>
      </c>
      <c r="C1497" s="12">
        <v>3.818880858671033</v>
      </c>
      <c r="D1497" s="5">
        <f t="shared" si="44"/>
        <v>8</v>
      </c>
      <c r="Q1497" s="4">
        <v>71437</v>
      </c>
      <c r="R1497" s="7">
        <v>20.770210131461145</v>
      </c>
      <c r="S1497" s="7">
        <v>40.697835014232858</v>
      </c>
      <c r="T1497" s="8">
        <v>0.56467915849776051</v>
      </c>
      <c r="U1497" s="7">
        <v>30.721843515152102</v>
      </c>
    </row>
    <row r="1498" spans="1:21" x14ac:dyDescent="0.3">
      <c r="A1498" s="4">
        <v>71468</v>
      </c>
      <c r="B1498" s="13">
        <f t="shared" si="43"/>
        <v>32.782235300000004</v>
      </c>
      <c r="C1498" s="12">
        <v>6.5481708370498319</v>
      </c>
      <c r="D1498" s="5">
        <f t="shared" si="44"/>
        <v>9</v>
      </c>
      <c r="Q1498" s="4">
        <v>71468</v>
      </c>
      <c r="R1498" s="7">
        <v>21.941844994055881</v>
      </c>
      <c r="S1498" s="7">
        <v>37.333071412072627</v>
      </c>
      <c r="T1498" s="8">
        <v>0.38731573106552691</v>
      </c>
      <c r="U1498" s="7">
        <v>37.02832167532992</v>
      </c>
    </row>
    <row r="1499" spans="1:21" x14ac:dyDescent="0.3">
      <c r="A1499" s="4">
        <v>71498</v>
      </c>
      <c r="B1499" s="13">
        <f t="shared" si="43"/>
        <v>12.7690757</v>
      </c>
      <c r="C1499" s="12">
        <v>17.191495820588894</v>
      </c>
      <c r="D1499" s="5">
        <f t="shared" si="44"/>
        <v>10</v>
      </c>
      <c r="Q1499" s="4">
        <v>71498</v>
      </c>
      <c r="R1499" s="7">
        <v>42.195112759537714</v>
      </c>
      <c r="S1499" s="7">
        <v>83.856436685619911</v>
      </c>
      <c r="T1499" s="8">
        <v>0.17687229521980233</v>
      </c>
      <c r="U1499" s="7">
        <v>88.33120987018124</v>
      </c>
    </row>
    <row r="1500" spans="1:21" x14ac:dyDescent="0.3">
      <c r="A1500" s="4">
        <v>71529</v>
      </c>
      <c r="B1500" s="13">
        <f t="shared" si="43"/>
        <v>9.9442385000000009</v>
      </c>
      <c r="C1500" s="12">
        <v>85.472143138758838</v>
      </c>
      <c r="D1500" s="5">
        <f t="shared" si="44"/>
        <v>11</v>
      </c>
      <c r="Q1500" s="4">
        <v>71529</v>
      </c>
      <c r="R1500" s="7">
        <v>185.24592022968369</v>
      </c>
      <c r="S1500" s="7">
        <v>202.49258974239831</v>
      </c>
      <c r="T1500" s="8">
        <v>0.50862939337933721</v>
      </c>
      <c r="U1500" s="7">
        <v>198.47569077855411</v>
      </c>
    </row>
    <row r="1501" spans="1:21" x14ac:dyDescent="0.3">
      <c r="A1501" s="4">
        <v>71559</v>
      </c>
      <c r="B1501" s="13">
        <f t="shared" si="43"/>
        <v>64.800785300000001</v>
      </c>
      <c r="C1501" s="12">
        <v>37.956706792465376</v>
      </c>
      <c r="D1501" s="5">
        <f t="shared" si="44"/>
        <v>12</v>
      </c>
      <c r="Q1501" s="4">
        <v>71559</v>
      </c>
      <c r="R1501" s="7">
        <v>80.078587777532903</v>
      </c>
      <c r="S1501" s="7">
        <v>96.433253269774994</v>
      </c>
      <c r="T1501" s="8">
        <v>4.5173124154820256E-2</v>
      </c>
      <c r="U1501" s="7">
        <v>95.718790126069095</v>
      </c>
    </row>
    <row r="1502" spans="1:21" x14ac:dyDescent="0.3">
      <c r="A1502" s="4">
        <v>71590</v>
      </c>
      <c r="B1502" s="13">
        <f t="shared" si="43"/>
        <v>189.7349432</v>
      </c>
      <c r="C1502" s="12">
        <v>101.91869979025789</v>
      </c>
      <c r="D1502" s="5">
        <f t="shared" si="44"/>
        <v>1</v>
      </c>
      <c r="Q1502" s="4">
        <v>71590</v>
      </c>
      <c r="R1502" s="7">
        <v>140.14101620950029</v>
      </c>
      <c r="S1502" s="7">
        <v>128.25963282084803</v>
      </c>
      <c r="T1502" s="8">
        <v>0.4373396773732911</v>
      </c>
      <c r="U1502" s="7">
        <v>129.58361828784413</v>
      </c>
    </row>
    <row r="1503" spans="1:21" x14ac:dyDescent="0.3">
      <c r="A1503" s="4">
        <v>71621</v>
      </c>
      <c r="B1503" s="13">
        <f t="shared" si="43"/>
        <v>154.8311099</v>
      </c>
      <c r="C1503" s="12">
        <v>26.411240032757561</v>
      </c>
      <c r="D1503" s="5">
        <f t="shared" si="44"/>
        <v>2</v>
      </c>
      <c r="Q1503" s="4">
        <v>71621</v>
      </c>
      <c r="R1503" s="7">
        <v>51.613377090332008</v>
      </c>
      <c r="S1503" s="7">
        <v>71.467992580856361</v>
      </c>
      <c r="T1503" s="8">
        <v>4.0611499609433152E-2</v>
      </c>
      <c r="U1503" s="7">
        <v>74.128247173715934</v>
      </c>
    </row>
    <row r="1504" spans="1:21" x14ac:dyDescent="0.3">
      <c r="A1504" s="4">
        <v>71650</v>
      </c>
      <c r="B1504" s="13">
        <f t="shared" si="43"/>
        <v>184.26165130000001</v>
      </c>
      <c r="C1504" s="12">
        <v>102.50436065252877</v>
      </c>
      <c r="D1504" s="5">
        <f t="shared" si="44"/>
        <v>3</v>
      </c>
      <c r="Q1504" s="4">
        <v>71650</v>
      </c>
      <c r="R1504" s="7">
        <v>218.42980466415312</v>
      </c>
      <c r="S1504" s="7">
        <v>214.25195231063685</v>
      </c>
      <c r="T1504" s="8">
        <v>0.82366663649311767</v>
      </c>
      <c r="U1504" s="7">
        <v>213.99944565693244</v>
      </c>
    </row>
    <row r="1505" spans="1:21" x14ac:dyDescent="0.3">
      <c r="A1505" s="4">
        <v>71681</v>
      </c>
      <c r="B1505" s="13">
        <f t="shared" si="43"/>
        <v>175.17198429999999</v>
      </c>
      <c r="C1505" s="12">
        <v>20.395988307427615</v>
      </c>
      <c r="D1505" s="5">
        <f t="shared" si="44"/>
        <v>4</v>
      </c>
      <c r="Q1505" s="4">
        <v>71681</v>
      </c>
      <c r="R1505" s="7">
        <v>38.409964976129025</v>
      </c>
      <c r="S1505" s="7">
        <v>31.892367219912572</v>
      </c>
      <c r="T1505" s="8">
        <v>1.4640962986374094E-2</v>
      </c>
      <c r="U1505" s="7">
        <v>31.092295258584652</v>
      </c>
    </row>
    <row r="1506" spans="1:21" x14ac:dyDescent="0.3">
      <c r="A1506" s="4">
        <v>71711</v>
      </c>
      <c r="B1506" s="13">
        <f t="shared" si="43"/>
        <v>162.4463945</v>
      </c>
      <c r="C1506" s="12">
        <v>2.3902108854599651</v>
      </c>
      <c r="D1506" s="5">
        <f t="shared" si="44"/>
        <v>5</v>
      </c>
      <c r="Q1506" s="4">
        <v>71711</v>
      </c>
      <c r="R1506" s="7">
        <v>4.0614413514599619</v>
      </c>
      <c r="S1506" s="7">
        <v>6.8892311170286291</v>
      </c>
      <c r="T1506" s="8">
        <v>1.4847915192316781E-3</v>
      </c>
      <c r="U1506" s="7">
        <v>7.7381045097619836</v>
      </c>
    </row>
    <row r="1507" spans="1:21" x14ac:dyDescent="0.3">
      <c r="A1507" s="4">
        <v>71742</v>
      </c>
      <c r="B1507" s="13">
        <f t="shared" si="43"/>
        <v>117.9125966</v>
      </c>
      <c r="C1507" s="12">
        <v>5.3230482953949867</v>
      </c>
      <c r="D1507" s="5">
        <f t="shared" si="44"/>
        <v>6</v>
      </c>
      <c r="Q1507" s="4">
        <v>71742</v>
      </c>
      <c r="R1507" s="7">
        <v>5.3931845491185468</v>
      </c>
      <c r="S1507" s="7">
        <v>11.945375058921448</v>
      </c>
      <c r="T1507" s="8">
        <v>0.27798236390984221</v>
      </c>
      <c r="U1507" s="7">
        <v>14.456588740129872</v>
      </c>
    </row>
    <row r="1508" spans="1:21" x14ac:dyDescent="0.3">
      <c r="A1508" s="4">
        <v>71772</v>
      </c>
      <c r="B1508" s="13">
        <f t="shared" si="43"/>
        <v>142.51482279999999</v>
      </c>
      <c r="C1508" s="12">
        <v>2.4257714591411595E-11</v>
      </c>
      <c r="D1508" s="5">
        <f t="shared" si="44"/>
        <v>7</v>
      </c>
      <c r="Q1508" s="4">
        <v>71772</v>
      </c>
      <c r="R1508" s="7">
        <v>8.7781073119179199E-11</v>
      </c>
      <c r="S1508" s="7">
        <v>1.4242082038711164E-7</v>
      </c>
      <c r="T1508" s="8">
        <v>3.0067254102771396E-8</v>
      </c>
      <c r="U1508" s="7">
        <v>4.4851010410719204E-5</v>
      </c>
    </row>
    <row r="1509" spans="1:21" x14ac:dyDescent="0.3">
      <c r="A1509" s="4">
        <v>71803</v>
      </c>
      <c r="B1509" s="13">
        <f t="shared" si="43"/>
        <v>98.909064700000002</v>
      </c>
      <c r="C1509" s="12">
        <v>3.1531370114912331E-5</v>
      </c>
      <c r="D1509" s="5">
        <f t="shared" si="44"/>
        <v>8</v>
      </c>
      <c r="Q1509" s="4">
        <v>71803</v>
      </c>
      <c r="R1509" s="7">
        <v>1.7149348389138079E-4</v>
      </c>
      <c r="S1509" s="7">
        <v>1.4565444301981936</v>
      </c>
      <c r="T1509" s="8">
        <v>1.2127506441117928E-3</v>
      </c>
      <c r="U1509" s="7">
        <v>0.6702336365238456</v>
      </c>
    </row>
    <row r="1510" spans="1:21" x14ac:dyDescent="0.3">
      <c r="A1510" s="4">
        <v>71834</v>
      </c>
      <c r="B1510" s="13">
        <f t="shared" si="43"/>
        <v>17.163163999999998</v>
      </c>
      <c r="C1510" s="12">
        <v>15.593358955811722</v>
      </c>
      <c r="D1510" s="5">
        <f t="shared" si="44"/>
        <v>9</v>
      </c>
      <c r="Q1510" s="4">
        <v>71834</v>
      </c>
      <c r="R1510" s="7">
        <v>52.250784785456581</v>
      </c>
      <c r="S1510" s="7">
        <v>63.882153294923086</v>
      </c>
      <c r="T1510" s="8">
        <v>0.62031622592491498</v>
      </c>
      <c r="U1510" s="7">
        <v>61.215692799180466</v>
      </c>
    </row>
    <row r="1511" spans="1:21" x14ac:dyDescent="0.3">
      <c r="A1511" s="4">
        <v>71864</v>
      </c>
      <c r="B1511" s="13">
        <f t="shared" si="43"/>
        <v>31.972822699999998</v>
      </c>
      <c r="C1511" s="12">
        <v>92.257356410845986</v>
      </c>
      <c r="D1511" s="5">
        <f t="shared" si="44"/>
        <v>10</v>
      </c>
      <c r="Q1511" s="4">
        <v>71864</v>
      </c>
      <c r="R1511" s="7">
        <v>226.43809458339254</v>
      </c>
      <c r="S1511" s="7">
        <v>220.66048895229042</v>
      </c>
      <c r="T1511" s="8">
        <v>0.73382534059228643</v>
      </c>
      <c r="U1511" s="7">
        <v>215.24060512471374</v>
      </c>
    </row>
    <row r="1512" spans="1:21" x14ac:dyDescent="0.3">
      <c r="A1512" s="4">
        <v>71895</v>
      </c>
      <c r="B1512" s="13">
        <f t="shared" si="43"/>
        <v>43.833548399999998</v>
      </c>
      <c r="C1512" s="12">
        <v>90.007838211022204</v>
      </c>
      <c r="D1512" s="5">
        <f t="shared" si="44"/>
        <v>11</v>
      </c>
      <c r="Q1512" s="4">
        <v>71895</v>
      </c>
      <c r="R1512" s="7">
        <v>195.07624595555936</v>
      </c>
      <c r="S1512" s="7">
        <v>208.8750640049353</v>
      </c>
      <c r="T1512" s="8">
        <v>0.54184901140587993</v>
      </c>
      <c r="U1512" s="7">
        <v>204.96541360911215</v>
      </c>
    </row>
    <row r="1513" spans="1:21" x14ac:dyDescent="0.3">
      <c r="A1513" s="4">
        <v>71925</v>
      </c>
      <c r="B1513" s="13">
        <f t="shared" si="43"/>
        <v>33.213593299999999</v>
      </c>
      <c r="C1513" s="12">
        <v>137.88200867129481</v>
      </c>
      <c r="D1513" s="5">
        <f t="shared" si="44"/>
        <v>12</v>
      </c>
      <c r="Q1513" s="4">
        <v>71925</v>
      </c>
      <c r="R1513" s="7">
        <v>290.89448130201367</v>
      </c>
      <c r="S1513" s="7">
        <v>285.34058443924812</v>
      </c>
      <c r="T1513" s="8">
        <v>0.74046315320658729</v>
      </c>
      <c r="U1513" s="7">
        <v>284.79774616982485</v>
      </c>
    </row>
    <row r="1514" spans="1:21" x14ac:dyDescent="0.3">
      <c r="A1514" s="4">
        <v>71956</v>
      </c>
      <c r="B1514" s="13">
        <f t="shared" si="43"/>
        <v>63.5874576</v>
      </c>
      <c r="C1514" s="12">
        <v>106.70092937070888</v>
      </c>
      <c r="D1514" s="5">
        <f t="shared" si="44"/>
        <v>1</v>
      </c>
      <c r="Q1514" s="4">
        <v>71956</v>
      </c>
      <c r="R1514" s="7">
        <v>146.71671345181926</v>
      </c>
      <c r="S1514" s="7">
        <v>136.25518370113988</v>
      </c>
      <c r="T1514" s="8">
        <v>0.47498032045214938</v>
      </c>
      <c r="U1514" s="7">
        <v>137.79603757872351</v>
      </c>
    </row>
    <row r="1515" spans="1:21" x14ac:dyDescent="0.3">
      <c r="A1515" s="4">
        <v>71987</v>
      </c>
      <c r="B1515" s="13">
        <f t="shared" si="43"/>
        <v>186.61195670000001</v>
      </c>
      <c r="C1515" s="12">
        <v>65.969475964084225</v>
      </c>
      <c r="D1515" s="5">
        <f t="shared" si="44"/>
        <v>2</v>
      </c>
      <c r="Q1515" s="4">
        <v>71987</v>
      </c>
      <c r="R1515" s="7">
        <v>128.91887829434759</v>
      </c>
      <c r="S1515" s="7">
        <v>145.21732798501338</v>
      </c>
      <c r="T1515" s="8">
        <v>0.31003965165223568</v>
      </c>
      <c r="U1515" s="7">
        <v>144.64548936990144</v>
      </c>
    </row>
    <row r="1516" spans="1:21" x14ac:dyDescent="0.3">
      <c r="A1516" s="4">
        <v>72015</v>
      </c>
      <c r="B1516" s="13">
        <f t="shared" si="43"/>
        <v>159.8899773</v>
      </c>
      <c r="C1516" s="12">
        <v>31.208250339841342</v>
      </c>
      <c r="D1516" s="5">
        <f t="shared" si="44"/>
        <v>3</v>
      </c>
      <c r="Q1516" s="4">
        <v>72015</v>
      </c>
      <c r="R1516" s="7">
        <v>66.502653957808619</v>
      </c>
      <c r="S1516" s="7">
        <v>71.448661409475989</v>
      </c>
      <c r="T1516" s="8">
        <v>0.11569430953724678</v>
      </c>
      <c r="U1516" s="7">
        <v>71.768126871138577</v>
      </c>
    </row>
    <row r="1517" spans="1:21" x14ac:dyDescent="0.3">
      <c r="A1517" s="4">
        <v>72046</v>
      </c>
      <c r="B1517" s="13">
        <f t="shared" si="43"/>
        <v>88.909089499999993</v>
      </c>
      <c r="C1517" s="12">
        <v>53.632875205949034</v>
      </c>
      <c r="D1517" s="5">
        <f t="shared" si="44"/>
        <v>4</v>
      </c>
      <c r="Q1517" s="4">
        <v>72046</v>
      </c>
      <c r="R1517" s="7">
        <v>101.00206114941714</v>
      </c>
      <c r="S1517" s="7">
        <v>95.205997468157122</v>
      </c>
      <c r="T1517" s="8">
        <v>0.29565071484574051</v>
      </c>
      <c r="U1517" s="7">
        <v>95.674148759026153</v>
      </c>
    </row>
    <row r="1518" spans="1:21" x14ac:dyDescent="0.3">
      <c r="A1518" s="4">
        <v>72076</v>
      </c>
      <c r="B1518" s="13">
        <f t="shared" si="43"/>
        <v>60.569590300000002</v>
      </c>
      <c r="C1518" s="12">
        <v>47.397605201695235</v>
      </c>
      <c r="D1518" s="5">
        <f t="shared" si="44"/>
        <v>5</v>
      </c>
      <c r="Q1518" s="4">
        <v>72076</v>
      </c>
      <c r="R1518" s="7">
        <v>80.537911904494635</v>
      </c>
      <c r="S1518" s="7">
        <v>86.422527820791601</v>
      </c>
      <c r="T1518" s="8">
        <v>0.43514461069951998</v>
      </c>
      <c r="U1518" s="7">
        <v>85.316628742261287</v>
      </c>
    </row>
    <row r="1519" spans="1:21" x14ac:dyDescent="0.3">
      <c r="A1519" s="4">
        <v>72107</v>
      </c>
      <c r="B1519" s="13">
        <f t="shared" si="43"/>
        <v>166.50195579999999</v>
      </c>
      <c r="C1519" s="12">
        <v>5.6412845369777544</v>
      </c>
      <c r="D1519" s="5">
        <f t="shared" si="44"/>
        <v>6</v>
      </c>
      <c r="Q1519" s="4">
        <v>72107</v>
      </c>
      <c r="R1519" s="7">
        <v>5.7156138576330937</v>
      </c>
      <c r="S1519" s="7">
        <v>12.385175281831041</v>
      </c>
      <c r="T1519" s="8">
        <v>0.2872601972498563</v>
      </c>
      <c r="U1519" s="7">
        <v>14.850626584052693</v>
      </c>
    </row>
    <row r="1520" spans="1:21" x14ac:dyDescent="0.3">
      <c r="A1520" s="4">
        <v>72137</v>
      </c>
      <c r="B1520" s="13">
        <f t="shared" si="43"/>
        <v>252.6624587</v>
      </c>
      <c r="C1520" s="12">
        <v>12.905045138904832</v>
      </c>
      <c r="D1520" s="5">
        <f t="shared" si="44"/>
        <v>7</v>
      </c>
      <c r="Q1520" s="4">
        <v>72137</v>
      </c>
      <c r="R1520" s="7">
        <v>46.699317311020963</v>
      </c>
      <c r="S1520" s="7">
        <v>44.456195047326538</v>
      </c>
      <c r="T1520" s="8">
        <v>0.82252220991175828</v>
      </c>
      <c r="U1520" s="7">
        <v>43.319303600523476</v>
      </c>
    </row>
    <row r="1521" spans="1:21" x14ac:dyDescent="0.3">
      <c r="A1521" s="4">
        <v>72168</v>
      </c>
      <c r="B1521" s="13">
        <f t="shared" si="43"/>
        <v>44.755962799999999</v>
      </c>
      <c r="C1521" s="12">
        <v>0.23485292210807532</v>
      </c>
      <c r="D1521" s="5">
        <f t="shared" si="44"/>
        <v>8</v>
      </c>
      <c r="Q1521" s="4">
        <v>72168</v>
      </c>
      <c r="R1521" s="7">
        <v>1.2773230490018275</v>
      </c>
      <c r="S1521" s="7">
        <v>18.407003438647738</v>
      </c>
      <c r="T1521" s="8">
        <v>0.14139135376641007</v>
      </c>
      <c r="U1521" s="7">
        <v>10.205807250060408</v>
      </c>
    </row>
    <row r="1522" spans="1:21" x14ac:dyDescent="0.3">
      <c r="A1522" s="4">
        <v>72199</v>
      </c>
      <c r="B1522" s="13">
        <f t="shared" si="43"/>
        <v>31.141248600000001</v>
      </c>
      <c r="C1522" s="12">
        <v>5.7062011328525841</v>
      </c>
      <c r="D1522" s="5">
        <f t="shared" si="44"/>
        <v>9</v>
      </c>
      <c r="Q1522" s="4">
        <v>72199</v>
      </c>
      <c r="R1522" s="7">
        <v>19.120542801593473</v>
      </c>
      <c r="S1522" s="7">
        <v>34.283789188294335</v>
      </c>
      <c r="T1522" s="8">
        <v>0.35651949869608668</v>
      </c>
      <c r="U1522" s="7">
        <v>34.328638695567093</v>
      </c>
    </row>
    <row r="1523" spans="1:21" x14ac:dyDescent="0.3">
      <c r="A1523" s="4">
        <v>72229</v>
      </c>
      <c r="B1523" s="13">
        <f t="shared" si="43"/>
        <v>98.952740800000001</v>
      </c>
      <c r="C1523" s="12">
        <v>190.02163012046378</v>
      </c>
      <c r="D1523" s="5">
        <f t="shared" si="44"/>
        <v>10</v>
      </c>
      <c r="Q1523" s="4">
        <v>72229</v>
      </c>
      <c r="R1523" s="7">
        <v>466.39246481865945</v>
      </c>
      <c r="S1523" s="7">
        <v>334.52339489661051</v>
      </c>
      <c r="T1523" s="8">
        <v>0.94593068248987833</v>
      </c>
      <c r="U1523" s="7">
        <v>337.77840707200357</v>
      </c>
    </row>
    <row r="1524" spans="1:21" x14ac:dyDescent="0.3">
      <c r="A1524" s="4">
        <v>72260</v>
      </c>
      <c r="B1524" s="13">
        <f t="shared" si="43"/>
        <v>65.492701299999993</v>
      </c>
      <c r="C1524" s="12">
        <v>161.84658743441096</v>
      </c>
      <c r="D1524" s="5">
        <f t="shared" si="44"/>
        <v>11</v>
      </c>
      <c r="Q1524" s="4">
        <v>72260</v>
      </c>
      <c r="R1524" s="7">
        <v>350.77416950512639</v>
      </c>
      <c r="S1524" s="7">
        <v>297.04765614064206</v>
      </c>
      <c r="T1524" s="8">
        <v>0.87745649146746141</v>
      </c>
      <c r="U1524" s="7">
        <v>299.6631761991087</v>
      </c>
    </row>
    <row r="1525" spans="1:21" x14ac:dyDescent="0.3">
      <c r="A1525" s="4">
        <v>72290</v>
      </c>
      <c r="B1525" s="13">
        <f t="shared" si="43"/>
        <v>154.17500000000001</v>
      </c>
      <c r="C1525" s="12">
        <v>65.843086870154409</v>
      </c>
      <c r="D1525" s="5">
        <f t="shared" si="44"/>
        <v>12</v>
      </c>
      <c r="Q1525" s="4">
        <v>72290</v>
      </c>
      <c r="R1525" s="7">
        <v>138.91145615725625</v>
      </c>
      <c r="S1525" s="7">
        <v>153.25301378745914</v>
      </c>
      <c r="T1525" s="8">
        <v>0.20979964658312938</v>
      </c>
      <c r="U1525" s="7">
        <v>151.33372893317807</v>
      </c>
    </row>
    <row r="1526" spans="1:21" x14ac:dyDescent="0.3">
      <c r="A1526" s="4">
        <v>72321</v>
      </c>
      <c r="B1526" s="13">
        <f t="shared" si="43"/>
        <v>159.02292009999999</v>
      </c>
      <c r="C1526" s="12">
        <v>146.85988129349431</v>
      </c>
      <c r="D1526" s="5">
        <f t="shared" si="44"/>
        <v>1</v>
      </c>
      <c r="Q1526" s="4">
        <v>72321</v>
      </c>
      <c r="R1526" s="7">
        <v>201.93637720292193</v>
      </c>
      <c r="S1526" s="7">
        <v>207.64280864325764</v>
      </c>
      <c r="T1526" s="8">
        <v>0.73908536452263407</v>
      </c>
      <c r="U1526" s="7">
        <v>209.72196964160554</v>
      </c>
    </row>
    <row r="1527" spans="1:21" x14ac:dyDescent="0.3">
      <c r="A1527" s="4">
        <v>72352</v>
      </c>
      <c r="B1527" s="13">
        <f t="shared" si="43"/>
        <v>259.27815950000002</v>
      </c>
      <c r="C1527" s="12">
        <v>105.59949134476484</v>
      </c>
      <c r="D1527" s="5">
        <f t="shared" si="44"/>
        <v>2</v>
      </c>
      <c r="Q1527" s="4">
        <v>72352</v>
      </c>
      <c r="R1527" s="7">
        <v>206.36465234364596</v>
      </c>
      <c r="S1527" s="7">
        <v>209.05661294322164</v>
      </c>
      <c r="T1527" s="8">
        <v>0.61502929856123578</v>
      </c>
      <c r="U1527" s="7">
        <v>207.39812665730966</v>
      </c>
    </row>
    <row r="1528" spans="1:21" x14ac:dyDescent="0.3">
      <c r="A1528" s="4">
        <v>72380</v>
      </c>
      <c r="B1528" s="13">
        <f t="shared" si="43"/>
        <v>248.2512285</v>
      </c>
      <c r="C1528" s="12">
        <v>112.10102360928437</v>
      </c>
      <c r="D1528" s="5">
        <f t="shared" si="44"/>
        <v>3</v>
      </c>
      <c r="Q1528" s="4">
        <v>72380</v>
      </c>
      <c r="R1528" s="7">
        <v>238.8796392051203</v>
      </c>
      <c r="S1528" s="7">
        <v>232.71065548112946</v>
      </c>
      <c r="T1528" s="8">
        <v>0.86996174093343681</v>
      </c>
      <c r="U1528" s="7">
        <v>232.6423385045216</v>
      </c>
    </row>
    <row r="1529" spans="1:21" x14ac:dyDescent="0.3">
      <c r="A1529" s="4">
        <v>72411</v>
      </c>
      <c r="B1529" s="13">
        <f t="shared" si="43"/>
        <v>83.710898</v>
      </c>
      <c r="C1529" s="12">
        <v>72.528786782640864</v>
      </c>
      <c r="D1529" s="5">
        <f t="shared" si="44"/>
        <v>4</v>
      </c>
      <c r="Q1529" s="4">
        <v>72411</v>
      </c>
      <c r="R1529" s="7">
        <v>136.58706398982633</v>
      </c>
      <c r="S1529" s="7">
        <v>133.94975306272221</v>
      </c>
      <c r="T1529" s="8">
        <v>0.5326895622161133</v>
      </c>
      <c r="U1529" s="7">
        <v>134.72420497730332</v>
      </c>
    </row>
    <row r="1530" spans="1:21" x14ac:dyDescent="0.3">
      <c r="A1530" s="4">
        <v>72441</v>
      </c>
      <c r="B1530" s="13">
        <f t="shared" si="43"/>
        <v>65.304975499999998</v>
      </c>
      <c r="C1530" s="12">
        <v>40.780862761312292</v>
      </c>
      <c r="D1530" s="5">
        <f t="shared" si="44"/>
        <v>5</v>
      </c>
      <c r="Q1530" s="4">
        <v>72441</v>
      </c>
      <c r="R1530" s="7">
        <v>69.294756949922544</v>
      </c>
      <c r="S1530" s="7">
        <v>76.091596801741829</v>
      </c>
      <c r="T1530" s="8">
        <v>0.35840646105702095</v>
      </c>
      <c r="U1530" s="7">
        <v>75.135259680103118</v>
      </c>
    </row>
    <row r="1531" spans="1:21" x14ac:dyDescent="0.3">
      <c r="A1531" s="4">
        <v>72472</v>
      </c>
      <c r="B1531" s="13">
        <f t="shared" si="43"/>
        <v>24.193040199999999</v>
      </c>
      <c r="C1531" s="12">
        <v>0.50274348677703562</v>
      </c>
      <c r="D1531" s="5">
        <f t="shared" si="44"/>
        <v>6</v>
      </c>
      <c r="Q1531" s="4">
        <v>72472</v>
      </c>
      <c r="R1531" s="7">
        <v>0.5093676131778736</v>
      </c>
      <c r="S1531" s="7">
        <v>2.7483612218369262</v>
      </c>
      <c r="T1531" s="8">
        <v>6.8967423910354694E-2</v>
      </c>
      <c r="U1531" s="7">
        <v>5.2961946415514536</v>
      </c>
    </row>
    <row r="1532" spans="1:21" x14ac:dyDescent="0.3">
      <c r="A1532" s="4">
        <v>72502</v>
      </c>
      <c r="B1532" s="13">
        <f t="shared" si="43"/>
        <v>14.619989199999999</v>
      </c>
      <c r="C1532" s="12">
        <v>4.2762164761370505</v>
      </c>
      <c r="D1532" s="5">
        <f t="shared" si="44"/>
        <v>7</v>
      </c>
      <c r="Q1532" s="4">
        <v>72502</v>
      </c>
      <c r="R1532" s="7">
        <v>15.474288385688432</v>
      </c>
      <c r="S1532" s="7">
        <v>19.97253665711893</v>
      </c>
      <c r="T1532" s="8">
        <v>0.51875513849936616</v>
      </c>
      <c r="U1532" s="7">
        <v>20.681948041473472</v>
      </c>
    </row>
    <row r="1533" spans="1:21" x14ac:dyDescent="0.3">
      <c r="A1533" s="4">
        <v>72533</v>
      </c>
      <c r="B1533" s="13">
        <f t="shared" si="43"/>
        <v>39.7721181</v>
      </c>
      <c r="C1533" s="12">
        <v>2.9949440727428129E-5</v>
      </c>
      <c r="D1533" s="5">
        <f t="shared" si="44"/>
        <v>8</v>
      </c>
      <c r="Q1533" s="4">
        <v>72533</v>
      </c>
      <c r="R1533" s="7">
        <v>1.6288965281962154E-4</v>
      </c>
      <c r="S1533" s="7">
        <v>1.4353692574230572</v>
      </c>
      <c r="T1533" s="8">
        <v>1.179837396640563E-3</v>
      </c>
      <c r="U1533" s="7">
        <v>0.66033893628340012</v>
      </c>
    </row>
    <row r="1534" spans="1:21" x14ac:dyDescent="0.3">
      <c r="A1534" s="4">
        <v>72564</v>
      </c>
      <c r="B1534" s="13">
        <f t="shared" si="43"/>
        <v>64.986418599999993</v>
      </c>
      <c r="C1534" s="12">
        <v>9.5655792247090087E-10</v>
      </c>
      <c r="D1534" s="5">
        <f t="shared" si="44"/>
        <v>9</v>
      </c>
      <c r="Q1534" s="4">
        <v>72564</v>
      </c>
      <c r="R1534" s="7">
        <v>3.2052684917653599E-9</v>
      </c>
      <c r="S1534" s="7">
        <v>3.041421566268889E-5</v>
      </c>
      <c r="T1534" s="8">
        <v>6.1616316579216424E-8</v>
      </c>
      <c r="U1534" s="7">
        <v>1.8912811931364149E-3</v>
      </c>
    </row>
    <row r="1535" spans="1:21" x14ac:dyDescent="0.3">
      <c r="A1535" s="4">
        <v>72594</v>
      </c>
      <c r="B1535" s="13">
        <f t="shared" si="43"/>
        <v>105.70541179999999</v>
      </c>
      <c r="C1535" s="12">
        <v>235.85966541431833</v>
      </c>
      <c r="D1535" s="5">
        <f t="shared" si="44"/>
        <v>10</v>
      </c>
      <c r="Q1535" s="4">
        <v>72594</v>
      </c>
      <c r="R1535" s="7">
        <v>578.8981529847523</v>
      </c>
      <c r="S1535" s="7">
        <v>378.85244315520413</v>
      </c>
      <c r="T1535" s="8">
        <v>0.97480225310372426</v>
      </c>
      <c r="U1535" s="7">
        <v>390.16989602353385</v>
      </c>
    </row>
    <row r="1536" spans="1:21" x14ac:dyDescent="0.3">
      <c r="A1536" s="4">
        <v>72625</v>
      </c>
      <c r="B1536" s="13">
        <f t="shared" ref="B1536:B1561" si="45">B1155</f>
        <v>251.67476869999999</v>
      </c>
      <c r="C1536" s="12">
        <v>7.5514858253882231</v>
      </c>
      <c r="D1536" s="5">
        <f t="shared" si="44"/>
        <v>11</v>
      </c>
      <c r="Q1536" s="4">
        <v>72625</v>
      </c>
      <c r="R1536" s="7">
        <v>16.366524688101642</v>
      </c>
      <c r="S1536" s="7">
        <v>47.200351521760368</v>
      </c>
      <c r="T1536" s="8">
        <v>2.6367157191156346E-3</v>
      </c>
      <c r="U1536" s="7">
        <v>52.704868986797486</v>
      </c>
    </row>
    <row r="1537" spans="1:21" x14ac:dyDescent="0.3">
      <c r="A1537" s="4">
        <v>72655</v>
      </c>
      <c r="B1537" s="13">
        <f t="shared" si="45"/>
        <v>144.34891440000001</v>
      </c>
      <c r="C1537" s="12">
        <v>22.924803124624315</v>
      </c>
      <c r="D1537" s="5">
        <f t="shared" si="44"/>
        <v>12</v>
      </c>
      <c r="Q1537" s="4">
        <v>72655</v>
      </c>
      <c r="R1537" s="7">
        <v>48.365256483797559</v>
      </c>
      <c r="S1537" s="7">
        <v>63.105197225215981</v>
      </c>
      <c r="T1537" s="8">
        <v>8.2866883719675006E-3</v>
      </c>
      <c r="U1537" s="7">
        <v>63.483764751904253</v>
      </c>
    </row>
    <row r="1538" spans="1:21" x14ac:dyDescent="0.3">
      <c r="A1538" s="4">
        <v>72686</v>
      </c>
      <c r="B1538" s="13">
        <f t="shared" si="45"/>
        <v>226.66548710000001</v>
      </c>
      <c r="C1538" s="12">
        <v>91.359869262669108</v>
      </c>
      <c r="D1538" s="5">
        <f t="shared" si="44"/>
        <v>1</v>
      </c>
      <c r="Q1538" s="4">
        <v>72686</v>
      </c>
      <c r="R1538" s="7">
        <v>125.62233373841929</v>
      </c>
      <c r="S1538" s="7">
        <v>111.03222257117035</v>
      </c>
      <c r="T1538" s="8">
        <v>0.35248838967048957</v>
      </c>
      <c r="U1538" s="7">
        <v>111.78428818232653</v>
      </c>
    </row>
    <row r="1539" spans="1:21" x14ac:dyDescent="0.3">
      <c r="A1539" s="4">
        <v>72717</v>
      </c>
      <c r="B1539" s="13">
        <f t="shared" si="45"/>
        <v>163.05918790000001</v>
      </c>
      <c r="C1539" s="12">
        <v>56.071485998109068</v>
      </c>
      <c r="D1539" s="5">
        <f t="shared" ref="D1539:D1561" si="46">MONTH(A1539)</f>
        <v>2</v>
      </c>
      <c r="Q1539" s="4">
        <v>72717</v>
      </c>
      <c r="R1539" s="7">
        <v>109.57602699631789</v>
      </c>
      <c r="S1539" s="7">
        <v>128.0376800819289</v>
      </c>
      <c r="T1539" s="8">
        <v>0.22902636193217465</v>
      </c>
      <c r="U1539" s="7">
        <v>128.06793334735153</v>
      </c>
    </row>
    <row r="1540" spans="1:21" x14ac:dyDescent="0.3">
      <c r="A1540" s="4">
        <v>72745</v>
      </c>
      <c r="B1540" s="13">
        <f t="shared" si="45"/>
        <v>158.24643040000001</v>
      </c>
      <c r="C1540" s="12">
        <v>69.794122350867923</v>
      </c>
      <c r="D1540" s="5">
        <f t="shared" si="46"/>
        <v>3</v>
      </c>
      <c r="Q1540" s="4">
        <v>72745</v>
      </c>
      <c r="R1540" s="7">
        <v>148.72651675263134</v>
      </c>
      <c r="S1540" s="7">
        <v>150.2385221698573</v>
      </c>
      <c r="T1540" s="8">
        <v>0.55989702820299536</v>
      </c>
      <c r="U1540" s="7">
        <v>149.80895756880207</v>
      </c>
    </row>
    <row r="1541" spans="1:21" x14ac:dyDescent="0.3">
      <c r="A1541" s="4">
        <v>72776</v>
      </c>
      <c r="B1541" s="13">
        <f t="shared" si="45"/>
        <v>277.81346819999999</v>
      </c>
      <c r="C1541" s="12">
        <v>21.95069802110082</v>
      </c>
      <c r="D1541" s="5">
        <f t="shared" si="46"/>
        <v>4</v>
      </c>
      <c r="Q1541" s="4">
        <v>72776</v>
      </c>
      <c r="R1541" s="7">
        <v>41.337812587636449</v>
      </c>
      <c r="S1541" s="7">
        <v>34.65582558972509</v>
      </c>
      <c r="T1541" s="8">
        <v>1.9235922788594643E-2</v>
      </c>
      <c r="U1541" s="7">
        <v>33.911535490933979</v>
      </c>
    </row>
    <row r="1542" spans="1:21" x14ac:dyDescent="0.3">
      <c r="A1542" s="4">
        <v>72806</v>
      </c>
      <c r="B1542" s="13">
        <f t="shared" si="45"/>
        <v>80.799814400000002</v>
      </c>
      <c r="C1542" s="12">
        <v>5.5972340865992019</v>
      </c>
      <c r="D1542" s="5">
        <f t="shared" si="46"/>
        <v>5</v>
      </c>
      <c r="Q1542" s="4">
        <v>72806</v>
      </c>
      <c r="R1542" s="7">
        <v>9.5108084861476918</v>
      </c>
      <c r="S1542" s="7">
        <v>14.159968208087419</v>
      </c>
      <c r="T1542" s="8">
        <v>9.3232528882448117E-3</v>
      </c>
      <c r="U1542" s="7">
        <v>15.007084432637962</v>
      </c>
    </row>
    <row r="1543" spans="1:21" x14ac:dyDescent="0.3">
      <c r="A1543" s="4">
        <v>72837</v>
      </c>
      <c r="B1543" s="13">
        <f t="shared" si="45"/>
        <v>21.379026100000001</v>
      </c>
      <c r="C1543" s="12">
        <v>2.2483374720100229E-10</v>
      </c>
      <c r="D1543" s="5">
        <f t="shared" si="46"/>
        <v>6</v>
      </c>
      <c r="Q1543" s="4">
        <v>72837</v>
      </c>
      <c r="R1543" s="7">
        <v>2.2779614691339081E-10</v>
      </c>
      <c r="S1543" s="7">
        <v>4.1436563440197738E-6</v>
      </c>
      <c r="T1543" s="8">
        <v>1.4927399219412242E-7</v>
      </c>
      <c r="U1543" s="7">
        <v>2.095173663202238E-3</v>
      </c>
    </row>
    <row r="1544" spans="1:21" x14ac:dyDescent="0.3">
      <c r="A1544" s="4">
        <v>72867</v>
      </c>
      <c r="B1544" s="13">
        <f t="shared" si="45"/>
        <v>70.4706458</v>
      </c>
      <c r="C1544" s="12">
        <v>0</v>
      </c>
      <c r="D1544" s="5">
        <f t="shared" si="46"/>
        <v>7</v>
      </c>
      <c r="Q1544" s="4">
        <v>72867</v>
      </c>
      <c r="R1544" s="7">
        <v>0</v>
      </c>
      <c r="S1544" s="7">
        <v>0</v>
      </c>
      <c r="T1544" s="8">
        <v>0</v>
      </c>
      <c r="U1544" s="7">
        <v>0</v>
      </c>
    </row>
    <row r="1545" spans="1:21" x14ac:dyDescent="0.3">
      <c r="A1545" s="4">
        <v>72898</v>
      </c>
      <c r="B1545" s="13">
        <f t="shared" si="45"/>
        <v>36.455129900000003</v>
      </c>
      <c r="C1545" s="12">
        <v>6.0516967576404701</v>
      </c>
      <c r="D1545" s="5">
        <f t="shared" si="46"/>
        <v>8</v>
      </c>
      <c r="Q1545" s="4">
        <v>72898</v>
      </c>
      <c r="R1545" s="7">
        <v>32.914096553359457</v>
      </c>
      <c r="S1545" s="7">
        <v>46.393554295052844</v>
      </c>
      <c r="T1545" s="8">
        <v>0.67902962595518102</v>
      </c>
      <c r="U1545" s="7">
        <v>38.286402988122319</v>
      </c>
    </row>
    <row r="1546" spans="1:21" x14ac:dyDescent="0.3">
      <c r="A1546" s="4">
        <v>72929</v>
      </c>
      <c r="B1546" s="13">
        <f t="shared" si="45"/>
        <v>47.932856700000002</v>
      </c>
      <c r="C1546" s="12">
        <v>0.34896464239864083</v>
      </c>
      <c r="D1546" s="5">
        <f t="shared" si="46"/>
        <v>9</v>
      </c>
      <c r="Q1546" s="4">
        <v>72929</v>
      </c>
      <c r="R1546" s="7">
        <v>1.1693232022283062</v>
      </c>
      <c r="S1546" s="7">
        <v>6.0782805484864113</v>
      </c>
      <c r="T1546" s="8">
        <v>5.5512330059310666E-2</v>
      </c>
      <c r="U1546" s="7">
        <v>8.6051063517885513</v>
      </c>
    </row>
    <row r="1547" spans="1:21" x14ac:dyDescent="0.3">
      <c r="A1547" s="4">
        <v>72959</v>
      </c>
      <c r="B1547" s="13">
        <f t="shared" si="45"/>
        <v>275.9363204</v>
      </c>
      <c r="C1547" s="12">
        <v>86.751257604919445</v>
      </c>
      <c r="D1547" s="5">
        <f t="shared" si="46"/>
        <v>10</v>
      </c>
      <c r="Q1547" s="4">
        <v>72959</v>
      </c>
      <c r="R1547" s="7">
        <v>212.92382785489866</v>
      </c>
      <c r="S1547" s="7">
        <v>212.97809494735387</v>
      </c>
      <c r="T1547" s="8">
        <v>0.70952605994489915</v>
      </c>
      <c r="U1547" s="7">
        <v>207.57716978299177</v>
      </c>
    </row>
    <row r="1548" spans="1:21" x14ac:dyDescent="0.3">
      <c r="A1548" s="4">
        <v>72990</v>
      </c>
      <c r="B1548" s="13">
        <f t="shared" si="45"/>
        <v>94.439412599999997</v>
      </c>
      <c r="C1548" s="12">
        <v>74.978065327741305</v>
      </c>
      <c r="D1548" s="5">
        <f t="shared" si="46"/>
        <v>11</v>
      </c>
      <c r="Q1548" s="4">
        <v>72990</v>
      </c>
      <c r="R1548" s="7">
        <v>162.50184210462831</v>
      </c>
      <c r="S1548" s="7">
        <v>187.18228095669369</v>
      </c>
      <c r="T1548" s="8">
        <v>0.42714585904013541</v>
      </c>
      <c r="U1548" s="7">
        <v>183.10261310275456</v>
      </c>
    </row>
    <row r="1549" spans="1:21" x14ac:dyDescent="0.3">
      <c r="A1549" s="4">
        <v>73020</v>
      </c>
      <c r="B1549" s="13">
        <f t="shared" si="45"/>
        <v>100.87269499999999</v>
      </c>
      <c r="C1549" s="12">
        <v>1.6491726459207712</v>
      </c>
      <c r="D1549" s="5">
        <f t="shared" si="46"/>
        <v>12</v>
      </c>
      <c r="Q1549" s="4">
        <v>73020</v>
      </c>
      <c r="R1549" s="7">
        <v>3.4793170337129462</v>
      </c>
      <c r="S1549" s="7">
        <v>6.8989698894811697</v>
      </c>
      <c r="T1549" s="8">
        <v>2.1491109359658164E-7</v>
      </c>
      <c r="U1549" s="7">
        <v>8.1492902421532882</v>
      </c>
    </row>
    <row r="1550" spans="1:21" x14ac:dyDescent="0.3">
      <c r="A1550" s="4">
        <v>73051</v>
      </c>
      <c r="B1550" s="13">
        <f t="shared" si="45"/>
        <v>126.56211570000001</v>
      </c>
      <c r="C1550" s="12">
        <v>55.856689775828194</v>
      </c>
      <c r="D1550" s="5">
        <f t="shared" si="46"/>
        <v>1</v>
      </c>
      <c r="Q1550" s="4">
        <v>73051</v>
      </c>
      <c r="R1550" s="7">
        <v>76.804485176837062</v>
      </c>
      <c r="S1550" s="7">
        <v>58.029283328212081</v>
      </c>
      <c r="T1550" s="8">
        <v>9.9489547725817931E-2</v>
      </c>
      <c r="U1550" s="7">
        <v>56.315833351685392</v>
      </c>
    </row>
    <row r="1551" spans="1:21" x14ac:dyDescent="0.3">
      <c r="A1551" s="4">
        <v>73082</v>
      </c>
      <c r="B1551" s="13">
        <f t="shared" si="45"/>
        <v>219.97909089999999</v>
      </c>
      <c r="C1551" s="12">
        <v>52.011959510855469</v>
      </c>
      <c r="D1551" s="5">
        <f t="shared" si="46"/>
        <v>2</v>
      </c>
      <c r="Q1551" s="4">
        <v>73082</v>
      </c>
      <c r="R1551" s="7">
        <v>101.64281859205751</v>
      </c>
      <c r="S1551" s="7">
        <v>120.79777001838529</v>
      </c>
      <c r="T1551" s="8">
        <v>0.19712930227018935</v>
      </c>
      <c r="U1551" s="7">
        <v>121.11621992903196</v>
      </c>
    </row>
    <row r="1552" spans="1:21" x14ac:dyDescent="0.3">
      <c r="A1552" s="4">
        <v>73110</v>
      </c>
      <c r="B1552" s="13">
        <f t="shared" si="45"/>
        <v>221.57449120000001</v>
      </c>
      <c r="C1552" s="12">
        <v>30.393231217749491</v>
      </c>
      <c r="D1552" s="5">
        <f t="shared" si="46"/>
        <v>3</v>
      </c>
      <c r="Q1552" s="4">
        <v>73110</v>
      </c>
      <c r="R1552" s="7">
        <v>64.765903769789375</v>
      </c>
      <c r="S1552" s="7">
        <v>69.723863290034856</v>
      </c>
      <c r="T1552" s="8">
        <v>0.10826836995394154</v>
      </c>
      <c r="U1552" s="7">
        <v>70.069102182241352</v>
      </c>
    </row>
    <row r="1553" spans="1:21" x14ac:dyDescent="0.3">
      <c r="A1553" s="4">
        <v>73141</v>
      </c>
      <c r="B1553" s="13">
        <f t="shared" si="45"/>
        <v>57.167225799999997</v>
      </c>
      <c r="C1553" s="12">
        <v>22.446836228482415</v>
      </c>
      <c r="D1553" s="5">
        <f t="shared" si="46"/>
        <v>4</v>
      </c>
      <c r="Q1553" s="4">
        <v>73141</v>
      </c>
      <c r="R1553" s="7">
        <v>42.272145892873084</v>
      </c>
      <c r="S1553" s="7">
        <v>35.543208906118075</v>
      </c>
      <c r="T1553" s="8">
        <v>2.087822840468136E-2</v>
      </c>
      <c r="U1553" s="7">
        <v>34.817508891692803</v>
      </c>
    </row>
    <row r="1554" spans="1:21" x14ac:dyDescent="0.3">
      <c r="A1554" s="4">
        <v>73171</v>
      </c>
      <c r="B1554" s="13">
        <f t="shared" si="45"/>
        <v>52.720329100000001</v>
      </c>
      <c r="C1554" s="12">
        <v>16.497328628611278</v>
      </c>
      <c r="D1554" s="5">
        <f t="shared" si="46"/>
        <v>5</v>
      </c>
      <c r="Q1554" s="4">
        <v>73171</v>
      </c>
      <c r="R1554" s="7">
        <v>28.032226398287975</v>
      </c>
      <c r="S1554" s="7">
        <v>35.362483952487722</v>
      </c>
      <c r="T1554" s="8">
        <v>8.1652279183862433E-2</v>
      </c>
      <c r="U1554" s="7">
        <v>35.557022433380915</v>
      </c>
    </row>
    <row r="1555" spans="1:21" x14ac:dyDescent="0.3">
      <c r="A1555" s="4">
        <v>73202</v>
      </c>
      <c r="B1555" s="13">
        <f t="shared" si="45"/>
        <v>18.868248399999999</v>
      </c>
      <c r="C1555" s="12">
        <v>0</v>
      </c>
      <c r="D1555" s="5">
        <f t="shared" si="46"/>
        <v>6</v>
      </c>
      <c r="Q1555" s="4">
        <v>73202</v>
      </c>
      <c r="R1555" s="7">
        <v>0</v>
      </c>
      <c r="S1555" s="7">
        <v>0</v>
      </c>
      <c r="T1555" s="8">
        <v>0</v>
      </c>
      <c r="U1555" s="7">
        <v>0</v>
      </c>
    </row>
    <row r="1556" spans="1:21" x14ac:dyDescent="0.3">
      <c r="A1556" s="4">
        <v>73232</v>
      </c>
      <c r="B1556" s="13">
        <f t="shared" si="45"/>
        <v>36.836727199999999</v>
      </c>
      <c r="C1556" s="12">
        <v>0</v>
      </c>
      <c r="D1556" s="5">
        <f t="shared" si="46"/>
        <v>7</v>
      </c>
      <c r="Q1556" s="4">
        <v>73232</v>
      </c>
      <c r="R1556" s="7">
        <v>0</v>
      </c>
      <c r="S1556" s="7">
        <v>0</v>
      </c>
      <c r="T1556" s="8">
        <v>0</v>
      </c>
      <c r="U1556" s="7">
        <v>0</v>
      </c>
    </row>
    <row r="1557" spans="1:21" x14ac:dyDescent="0.3">
      <c r="A1557" s="4">
        <v>73263</v>
      </c>
      <c r="B1557" s="13">
        <f t="shared" si="45"/>
        <v>47.116242999999997</v>
      </c>
      <c r="C1557" s="12">
        <v>1.0526342482080515</v>
      </c>
      <c r="D1557" s="5">
        <f t="shared" si="46"/>
        <v>8</v>
      </c>
      <c r="Q1557" s="4">
        <v>73263</v>
      </c>
      <c r="R1557" s="7">
        <v>5.725089453160451</v>
      </c>
      <c r="S1557" s="7">
        <v>28.20588455396393</v>
      </c>
      <c r="T1557" s="8">
        <v>0.30748867348008724</v>
      </c>
      <c r="U1557" s="7">
        <v>17.75424043475666</v>
      </c>
    </row>
    <row r="1558" spans="1:21" x14ac:dyDescent="0.3">
      <c r="A1558" s="4">
        <v>73294</v>
      </c>
      <c r="B1558" s="13">
        <f t="shared" si="45"/>
        <v>48.831038399999997</v>
      </c>
      <c r="C1558" s="12">
        <v>5.9423009725724978E-9</v>
      </c>
      <c r="D1558" s="5">
        <f t="shared" si="46"/>
        <v>9</v>
      </c>
      <c r="Q1558" s="4">
        <v>73294</v>
      </c>
      <c r="R1558" s="7">
        <v>1.9911674587121194E-8</v>
      </c>
      <c r="S1558" s="7">
        <v>9.4225137960049756E-5</v>
      </c>
      <c r="T1558" s="8">
        <v>2.1958481757876235E-7</v>
      </c>
      <c r="U1558" s="7">
        <v>4.0945762286266505E-3</v>
      </c>
    </row>
    <row r="1559" spans="1:21" x14ac:dyDescent="0.3">
      <c r="A1559" s="4">
        <v>73324</v>
      </c>
      <c r="B1559" s="13">
        <f t="shared" si="45"/>
        <v>247.66047760000001</v>
      </c>
      <c r="C1559" s="12">
        <v>25.818511497345742</v>
      </c>
      <c r="D1559" s="5">
        <f t="shared" si="46"/>
        <v>10</v>
      </c>
      <c r="Q1559" s="4">
        <v>73324</v>
      </c>
      <c r="R1559" s="7">
        <v>63.369413300802961</v>
      </c>
      <c r="S1559" s="7">
        <v>105.9841835873431</v>
      </c>
      <c r="T1559" s="8">
        <v>0.26835952113515898</v>
      </c>
      <c r="U1559" s="7">
        <v>107.76068683768844</v>
      </c>
    </row>
    <row r="1560" spans="1:21" x14ac:dyDescent="0.3">
      <c r="A1560" s="4">
        <v>73355</v>
      </c>
      <c r="B1560" s="13">
        <f t="shared" si="45"/>
        <v>129.6517126</v>
      </c>
      <c r="C1560" s="12">
        <v>73.184750333894129</v>
      </c>
      <c r="D1560" s="5">
        <f t="shared" si="46"/>
        <v>11</v>
      </c>
      <c r="Q1560" s="4">
        <v>73355</v>
      </c>
      <c r="R1560" s="7">
        <v>158.61514552609984</v>
      </c>
      <c r="S1560" s="7">
        <v>184.48228659897796</v>
      </c>
      <c r="T1560" s="8">
        <v>0.41268371265997794</v>
      </c>
      <c r="U1560" s="7">
        <v>180.41969081719813</v>
      </c>
    </row>
    <row r="1561" spans="1:21" x14ac:dyDescent="0.3">
      <c r="A1561" s="4">
        <v>73385</v>
      </c>
      <c r="B1561" s="13">
        <f t="shared" si="45"/>
        <v>153.43185199999999</v>
      </c>
      <c r="C1561" s="12">
        <v>41.224807014643723</v>
      </c>
      <c r="D1561" s="5">
        <f t="shared" si="46"/>
        <v>12</v>
      </c>
      <c r="Q1561" s="4">
        <v>73385</v>
      </c>
      <c r="R1561" s="7">
        <v>86.973412766918798</v>
      </c>
      <c r="S1561" s="7">
        <v>103.36966206635272</v>
      </c>
      <c r="T1561" s="8">
        <v>5.8285945114265082E-2</v>
      </c>
      <c r="U1561" s="7">
        <v>102.45638830232301</v>
      </c>
    </row>
  </sheetData>
  <mergeCells count="4">
    <mergeCell ref="W1:AB6"/>
    <mergeCell ref="W7:AB7"/>
    <mergeCell ref="X10:Z14"/>
    <mergeCell ref="E16:G17"/>
  </mergeCells>
  <phoneticPr fontId="1" type="noConversion"/>
  <hyperlinks>
    <hyperlink ref="W7" r:id="rId1" xr:uid="{2A528195-EA31-47D5-AF2A-8EC788BD2F5E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DeltaMean">
                <anchor moveWithCells="1" sizeWithCells="1">
                  <from>
                    <xdr:col>4</xdr:col>
                    <xdr:colOff>327660</xdr:colOff>
                    <xdr:row>4</xdr:row>
                    <xdr:rowOff>60960</xdr:rowOff>
                  </from>
                  <to>
                    <xdr:col>6</xdr:col>
                    <xdr:colOff>518160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MonthlyAverage">
                <anchor moveWithCells="1" sizeWithCells="1">
                  <from>
                    <xdr:col>4</xdr:col>
                    <xdr:colOff>388620</xdr:colOff>
                    <xdr:row>1</xdr:row>
                    <xdr:rowOff>99060</xdr:rowOff>
                  </from>
                  <to>
                    <xdr:col>6</xdr:col>
                    <xdr:colOff>441960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Delta_MV">
                <anchor moveWithCells="1" sizeWithCells="1">
                  <from>
                    <xdr:col>4</xdr:col>
                    <xdr:colOff>335280</xdr:colOff>
                    <xdr:row>7</xdr:row>
                    <xdr:rowOff>99060</xdr:rowOff>
                  </from>
                  <to>
                    <xdr:col>6</xdr:col>
                    <xdr:colOff>518160</xdr:colOff>
                    <xdr:row>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QuantileGamma">
                <anchor moveWithCells="1" sizeWithCells="1">
                  <from>
                    <xdr:col>4</xdr:col>
                    <xdr:colOff>365760</xdr:colOff>
                    <xdr:row>10</xdr:row>
                    <xdr:rowOff>68580</xdr:rowOff>
                  </from>
                  <to>
                    <xdr:col>6</xdr:col>
                    <xdr:colOff>525780</xdr:colOff>
                    <xdr:row>12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Katerina</dc:creator>
  <cp:lastModifiedBy>LYRA AIKATERINI</cp:lastModifiedBy>
  <dcterms:created xsi:type="dcterms:W3CDTF">2021-07-01T15:05:38Z</dcterms:created>
  <dcterms:modified xsi:type="dcterms:W3CDTF">2026-02-17T07:45:03Z</dcterms:modified>
</cp:coreProperties>
</file>