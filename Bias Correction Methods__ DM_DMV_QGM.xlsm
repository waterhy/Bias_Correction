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"/>
    </mc:Choice>
  </mc:AlternateContent>
  <xr:revisionPtr revIDLastSave="0" documentId="13_ncr:1_{533C6A47-E974-4536-9918-74DB5B1BD1EB}" xr6:coauthVersionLast="47" xr6:coauthVersionMax="47" xr10:uidLastSave="{00000000-0000-0000-0000-000000000000}"/>
  <bookViews>
    <workbookView xWindow="-120" yWindow="-120" windowWidth="29040" windowHeight="15840" xr2:uid="{E7549A28-5B6E-42E2-A48A-708C7AA92A93}"/>
  </bookViews>
  <sheets>
    <sheet name="Sheet1" sheetId="1" r:id="rId1"/>
  </sheets>
  <definedNames>
    <definedName name="_xlchart.v1.0" hidden="1">Sheet1!$B$1</definedName>
    <definedName name="_xlchart.v1.1" hidden="1">Sheet1!$B$2:$B$361</definedName>
    <definedName name="_xlchart.v1.2" hidden="1">Sheet1!$R$1</definedName>
    <definedName name="_xlchart.v1.3" hidden="1">Sheet1!$R$2:$R$361</definedName>
    <definedName name="_xlchart.v1.4" hidden="1">Sheet1!$S$1</definedName>
    <definedName name="_xlchart.v1.5" hidden="1">Sheet1!$S$2:$S$361</definedName>
    <definedName name="_xlchart.v1.6" hidden="1">Sheet1!$U$1</definedName>
    <definedName name="_xlchart.v1.7" hidden="1">Sheet1!$U$2:$U$361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2" i="1"/>
  <c r="N3" i="1" a="1"/>
  <c r="N3" i="1" s="1"/>
  <c r="N4" i="1" a="1"/>
  <c r="N4" i="1" s="1"/>
  <c r="N5" i="1" a="1"/>
  <c r="N5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M3" i="1" a="1"/>
  <c r="M3" i="1" s="1"/>
  <c r="M4" i="1" a="1"/>
  <c r="M4" i="1" s="1"/>
  <c r="M5" i="1" a="1"/>
  <c r="M5" i="1" s="1"/>
  <c r="M6" i="1" a="1"/>
  <c r="M6" i="1" s="1"/>
  <c r="M7" i="1" a="1"/>
  <c r="M7" i="1" s="1"/>
  <c r="M8" i="1" a="1"/>
  <c r="M8" i="1" s="1"/>
  <c r="M9" i="1" a="1"/>
  <c r="M9" i="1" s="1"/>
  <c r="M10" i="1" a="1"/>
  <c r="M10" i="1" s="1"/>
  <c r="M11" i="1" a="1"/>
  <c r="M11" i="1" s="1"/>
  <c r="M12" i="1" a="1"/>
  <c r="M12" i="1" s="1"/>
  <c r="M13" i="1" a="1"/>
  <c r="M13" i="1" s="1"/>
  <c r="M2" i="1" a="1"/>
  <c r="M2" i="1" s="1"/>
  <c r="N2" i="1" a="1"/>
  <c r="N2" i="1" s="1"/>
  <c r="L3" i="1"/>
  <c r="L4" i="1"/>
  <c r="L5" i="1"/>
  <c r="L6" i="1"/>
  <c r="L7" i="1"/>
  <c r="L8" i="1"/>
  <c r="L9" i="1"/>
  <c r="L10" i="1"/>
  <c r="L11" i="1"/>
  <c r="L12" i="1"/>
  <c r="L13" i="1"/>
  <c r="L2" i="1"/>
  <c r="K3" i="1"/>
  <c r="K4" i="1"/>
  <c r="K5" i="1"/>
  <c r="K6" i="1"/>
  <c r="K7" i="1"/>
  <c r="K8" i="1"/>
  <c r="K9" i="1"/>
  <c r="K10" i="1"/>
  <c r="K11" i="1"/>
  <c r="K12" i="1"/>
  <c r="K13" i="1"/>
  <c r="K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<sst xmlns="http://schemas.openxmlformats.org/spreadsheetml/2006/main" count="27" uniqueCount="23">
  <si>
    <t>Date</t>
  </si>
  <si>
    <t>Obs</t>
  </si>
  <si>
    <t>GCM_RCM</t>
  </si>
  <si>
    <t>Month</t>
  </si>
  <si>
    <t xml:space="preserve">https://doi.org/10.1007/s11269-022-03392-x </t>
  </si>
  <si>
    <t>Don’t change name of 'Sheet1' --- Don’t add any more sheets</t>
  </si>
  <si>
    <t>Select buttons to bias correct</t>
  </si>
  <si>
    <t>Mean Obs</t>
  </si>
  <si>
    <t>Mean Base</t>
  </si>
  <si>
    <t>StDev Obs</t>
  </si>
  <si>
    <t>StDev Base</t>
  </si>
  <si>
    <t>Delta_m</t>
  </si>
  <si>
    <t>Delta_m_Pre</t>
  </si>
  <si>
    <t>b</t>
  </si>
  <si>
    <t>a</t>
  </si>
  <si>
    <t>Delta_mv_Pre</t>
  </si>
  <si>
    <t>β0=σ2/μ</t>
  </si>
  <si>
    <t>α0=μ/β0</t>
  </si>
  <si>
    <t>β=σ2/μ</t>
  </si>
  <si>
    <t>α=μ/β</t>
  </si>
  <si>
    <t>Fbase,Gamma</t>
  </si>
  <si>
    <t>QuantileG_Pre</t>
  </si>
  <si>
    <r>
      <rPr>
        <b/>
        <i/>
        <sz val="11"/>
        <color rgb="FF222222"/>
        <rFont val="Arial Unicode MS"/>
        <family val="2"/>
        <charset val="161"/>
      </rPr>
      <t xml:space="preserve"> Disclaimer: </t>
    </r>
    <r>
      <rPr>
        <i/>
        <sz val="11"/>
        <color rgb="FF222222"/>
        <rFont val="Arial Unicode MS"/>
        <family val="2"/>
        <charset val="161"/>
      </rPr>
      <t xml:space="preserve">developed for the study </t>
    </r>
    <r>
      <rPr>
        <sz val="11"/>
        <color rgb="FF222222"/>
        <rFont val="Arial Unicode MS"/>
        <family val="2"/>
        <charset val="161"/>
      </rPr>
      <t>Lyra, A., &amp; Loukas, A. (2023). Simulation and Evaluation of Water Resources Management Scenarios Under Climate Change for Adaptive Management of Coastal Agricultural Watersheds. </t>
    </r>
    <r>
      <rPr>
        <i/>
        <sz val="11"/>
        <color rgb="FF222222"/>
        <rFont val="Arial Unicode MS"/>
        <family val="2"/>
        <charset val="161"/>
      </rPr>
      <t>Water Resources Management</t>
    </r>
    <r>
      <rPr>
        <sz val="11"/>
        <color rgb="FF222222"/>
        <rFont val="Arial Unicode MS"/>
        <family val="2"/>
        <charset val="161"/>
      </rPr>
      <t>, </t>
    </r>
    <r>
      <rPr>
        <i/>
        <sz val="11"/>
        <color rgb="FF222222"/>
        <rFont val="Arial Unicode MS"/>
        <family val="2"/>
        <charset val="161"/>
      </rPr>
      <t>37</t>
    </r>
    <r>
      <rPr>
        <sz val="11"/>
        <color rgb="FF222222"/>
        <rFont val="Arial Unicode MS"/>
        <family val="2"/>
        <charset val="161"/>
      </rPr>
      <t>(6-7), 2625-2642.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</si>
</sst>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2"/>
      <color rgb="FF000000"/>
      <name val="Calibri"/>
      <family val="2"/>
      <charset val="161"/>
    </font>
    <font>
      <sz val="10"/>
      <name val="Arial"/>
      <family val="2"/>
      <charset val="161"/>
    </font>
    <font>
      <sz val="10"/>
      <name val="Arial Greek"/>
      <charset val="161"/>
    </font>
    <font>
      <sz val="12"/>
      <color theme="4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222222"/>
      <name val="Arial Unicode MS"/>
      <family val="2"/>
      <charset val="161"/>
    </font>
    <font>
      <u/>
      <sz val="12"/>
      <color theme="10"/>
      <name val="Arial Unicode MS"/>
      <family val="2"/>
      <charset val="161"/>
    </font>
    <font>
      <sz val="11"/>
      <color rgb="FF222222"/>
      <name val="Arial Unicode MS"/>
      <family val="2"/>
      <charset val="161"/>
    </font>
    <font>
      <b/>
      <i/>
      <sz val="11"/>
      <color rgb="FF222222"/>
      <name val="Arial Unicode MS"/>
      <family val="2"/>
      <charset val="161"/>
    </font>
    <font>
      <i/>
      <sz val="11"/>
      <color rgb="FF222222"/>
      <name val="Arial Unicode MS"/>
      <family val="2"/>
      <charset val="16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6" fillId="0" borderId="0"/>
    <xf numFmtId="0" fontId="9" fillId="0" borderId="0" applyNumberFormat="0" applyFill="0" applyBorder="0" applyAlignment="0" applyProtection="0"/>
    <xf numFmtId="0" fontId="8" fillId="4" borderId="9" applyNumberFormat="0" applyFont="0" applyAlignment="0" applyProtection="0"/>
  </cellStyleXfs>
  <cellXfs count="47">
    <xf numFmtId="0" fontId="0" fillId="0" borderId="0" xfId="0"/>
    <xf numFmtId="0" fontId="0" fillId="2" borderId="0" xfId="0" applyFill="1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Fill="1" applyBorder="1"/>
    <xf numFmtId="0" fontId="0" fillId="0" borderId="0" xfId="0" applyBorder="1"/>
    <xf numFmtId="2" fontId="7" fillId="0" borderId="0" xfId="0" applyNumberFormat="1" applyFont="1" applyAlignment="1">
      <alignment horizontal="center" vertical="center"/>
    </xf>
    <xf numFmtId="2" fontId="7" fillId="0" borderId="0" xfId="0" applyNumberFormat="1" applyFont="1"/>
    <xf numFmtId="2" fontId="7" fillId="3" borderId="0" xfId="0" applyNumberFormat="1" applyFont="1" applyFill="1"/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quotePrefix="1" applyNumberFormat="1" applyAlignment="1">
      <alignment horizontal="center" vertical="center"/>
    </xf>
    <xf numFmtId="0" fontId="2" fillId="2" borderId="0" xfId="0" applyFont="1" applyFill="1" applyBorder="1"/>
    <xf numFmtId="0" fontId="2" fillId="2" borderId="0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left" vertical="center"/>
    </xf>
    <xf numFmtId="0" fontId="12" fillId="4" borderId="10" xfId="4" applyFont="1" applyBorder="1" applyAlignment="1">
      <alignment horizontal="center" vertical="center" wrapText="1"/>
    </xf>
    <xf numFmtId="0" fontId="12" fillId="4" borderId="11" xfId="4" applyFont="1" applyBorder="1" applyAlignment="1">
      <alignment horizontal="center" vertical="center" wrapText="1"/>
    </xf>
    <xf numFmtId="0" fontId="12" fillId="4" borderId="12" xfId="4" applyFont="1" applyBorder="1" applyAlignment="1">
      <alignment horizontal="center" vertical="center" wrapText="1"/>
    </xf>
    <xf numFmtId="0" fontId="12" fillId="4" borderId="16" xfId="4" applyFont="1" applyBorder="1" applyAlignment="1">
      <alignment horizontal="center" vertical="center" wrapText="1"/>
    </xf>
    <xf numFmtId="0" fontId="12" fillId="4" borderId="9" xfId="4" applyFont="1" applyBorder="1" applyAlignment="1">
      <alignment horizontal="center" vertical="center" wrapText="1"/>
    </xf>
    <xf numFmtId="0" fontId="12" fillId="4" borderId="17" xfId="4" applyFont="1" applyBorder="1" applyAlignment="1">
      <alignment horizontal="center" vertical="center" wrapText="1"/>
    </xf>
    <xf numFmtId="0" fontId="12" fillId="4" borderId="13" xfId="4" applyFont="1" applyBorder="1" applyAlignment="1">
      <alignment horizontal="center" vertical="center" wrapText="1"/>
    </xf>
    <xf numFmtId="0" fontId="12" fillId="4" borderId="14" xfId="4" applyFont="1" applyBorder="1" applyAlignment="1">
      <alignment horizontal="center" vertical="center" wrapText="1"/>
    </xf>
    <xf numFmtId="0" fontId="12" fillId="4" borderId="15" xfId="4" applyFont="1" applyBorder="1" applyAlignment="1">
      <alignment horizontal="center" vertical="center" wrapText="1"/>
    </xf>
    <xf numFmtId="0" fontId="11" fillId="4" borderId="18" xfId="4" applyFont="1" applyBorder="1" applyAlignment="1">
      <alignment horizontal="center" vertical="center"/>
    </xf>
    <xf numFmtId="0" fontId="10" fillId="4" borderId="19" xfId="4" applyFont="1" applyBorder="1" applyAlignment="1">
      <alignment horizontal="center" vertical="center"/>
    </xf>
    <xf numFmtId="0" fontId="10" fillId="4" borderId="20" xfId="4" applyFont="1" applyBorder="1" applyAlignment="1">
      <alignment horizontal="center" vertical="center"/>
    </xf>
    <xf numFmtId="0" fontId="9" fillId="0" borderId="2" xfId="3" applyBorder="1" applyAlignment="1">
      <alignment horizontal="center" vertical="center" wrapText="1"/>
    </xf>
    <xf numFmtId="0" fontId="9" fillId="0" borderId="3" xfId="3" applyBorder="1" applyAlignment="1">
      <alignment horizontal="center" vertical="center" wrapText="1"/>
    </xf>
    <xf numFmtId="0" fontId="9" fillId="0" borderId="4" xfId="3" applyBorder="1" applyAlignment="1">
      <alignment horizontal="center" vertical="center" wrapText="1"/>
    </xf>
    <xf numFmtId="0" fontId="9" fillId="0" borderId="5" xfId="3" applyBorder="1" applyAlignment="1">
      <alignment horizontal="center" vertical="center" wrapText="1"/>
    </xf>
    <xf numFmtId="0" fontId="9" fillId="0" borderId="0" xfId="3" applyBorder="1" applyAlignment="1">
      <alignment horizontal="center" vertical="center" wrapText="1"/>
    </xf>
    <xf numFmtId="0" fontId="9" fillId="0" borderId="6" xfId="3" applyBorder="1" applyAlignment="1">
      <alignment horizontal="center" vertical="center" wrapText="1"/>
    </xf>
    <xf numFmtId="0" fontId="9" fillId="0" borderId="7" xfId="3" applyBorder="1" applyAlignment="1">
      <alignment horizontal="center" vertical="center" wrapText="1"/>
    </xf>
    <xf numFmtId="0" fontId="9" fillId="0" borderId="1" xfId="3" applyBorder="1" applyAlignment="1">
      <alignment horizontal="center" vertical="center" wrapText="1"/>
    </xf>
    <xf numFmtId="0" fontId="9" fillId="0" borderId="8" xfId="3" applyBorder="1" applyAlignment="1">
      <alignment horizontal="center" vertical="center" wrapText="1"/>
    </xf>
    <xf numFmtId="0" fontId="14" fillId="4" borderId="10" xfId="4" applyFont="1" applyBorder="1" applyAlignment="1">
      <alignment horizontal="center" vertical="center" wrapText="1"/>
    </xf>
    <xf numFmtId="0" fontId="14" fillId="4" borderId="11" xfId="4" applyFont="1" applyBorder="1" applyAlignment="1">
      <alignment horizontal="center" vertical="center" wrapText="1"/>
    </xf>
    <xf numFmtId="0" fontId="14" fillId="4" borderId="12" xfId="4" applyFont="1" applyBorder="1" applyAlignment="1">
      <alignment horizontal="center" vertical="center" wrapText="1"/>
    </xf>
    <xf numFmtId="0" fontId="14" fillId="4" borderId="13" xfId="4" applyFont="1" applyBorder="1" applyAlignment="1">
      <alignment horizontal="center" vertical="center" wrapText="1"/>
    </xf>
    <xf numFmtId="0" fontId="14" fillId="4" borderId="14" xfId="4" applyFont="1" applyBorder="1" applyAlignment="1">
      <alignment horizontal="center" vertical="center" wrapText="1"/>
    </xf>
    <xf numFmtId="0" fontId="14" fillId="4" borderId="15" xfId="4" applyFont="1" applyBorder="1" applyAlignment="1">
      <alignment horizontal="center" vertical="center" wrapText="1"/>
    </xf>
  </cellXfs>
  <cellStyles count="5">
    <cellStyle name="Normal" xfId="0" builtinId="0"/>
    <cellStyle name="Normal 2" xfId="2" xr:uid="{113F17F5-3189-4D7C-BFB1-9719F38E5D45}"/>
    <cellStyle name="Note" xfId="4" builtinId="10"/>
    <cellStyle name="Warning Text" xfId="3" builtinId="11"/>
    <cellStyle name="Βασικό_marina" xfId="1" xr:uid="{AE439C3A-CA8A-4FCE-BB8F-F8B37D4CBA6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</cx:chartData>
  <cx:chart>
    <cx:title pos="t" align="ctr" overlay="0">
      <cx:tx>
        <cx:txData>
          <cx:v>1971-2000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</a:rPr>
            <a:t>1971-2000</a:t>
          </a:r>
        </a:p>
      </cx:txPr>
    </cx:title>
    <cx:plotArea>
      <cx:plotAreaRegion>
        <cx:series layoutId="boxWhisker" uniqueId="{472BCDC9-CD92-4F0C-A9A2-5658CEE16C7C}">
          <cx:tx>
            <cx:txData>
              <cx:f>_xlchart.v1.0</cx:f>
              <cx:v>Obs</cx:v>
            </cx:txData>
          </cx:tx>
          <cx:dataId val="0"/>
          <cx:layoutPr>
            <cx:visibility meanLine="1" meanMarker="0" nonoutliers="0" outliers="1"/>
            <cx:statistics quartileMethod="exclusive"/>
          </cx:layoutPr>
        </cx:series>
        <cx:series layoutId="boxWhisker" uniqueId="{2B038F42-11FA-464C-B1C8-F13906534762}">
          <cx:tx>
            <cx:txData>
              <cx:f>_xlchart.v1.2</cx:f>
              <cx:v>Delta_m_Pre</cx:v>
            </cx:txData>
          </cx:tx>
          <cx:dataId val="1"/>
          <cx:layoutPr>
            <cx:visibility meanLine="1" meanMarker="1" nonoutliers="0"/>
            <cx:statistics quartileMethod="inclusive"/>
          </cx:layoutPr>
        </cx:series>
        <cx:series layoutId="boxWhisker" uniqueId="{95B06C93-AD25-47B2-8700-7DB43F208B84}">
          <cx:tx>
            <cx:txData>
              <cx:f>_xlchart.v1.4</cx:f>
              <cx:v>Delta_mv_Pre</cx:v>
            </cx:txData>
          </cx:tx>
          <cx:dataId val="2"/>
          <cx:layoutPr>
            <cx:visibility meanLine="1" meanMarker="1" nonoutliers="0"/>
            <cx:statistics quartileMethod="exclusive"/>
          </cx:layoutPr>
        </cx:series>
        <cx:series layoutId="boxWhisker" uniqueId="{34EEDF9F-8E8D-477A-9017-1D19F4B58BD6}">
          <cx:tx>
            <cx:txData>
              <cx:f>_xlchart.v1.6</cx:f>
              <cx:v>QuantileG_Pre</cx:v>
            </cx:txData>
          </cx:tx>
          <cx:dataId val="3"/>
          <cx:layoutPr>
            <cx:visibility meanLine="1" meanMarker="1" nonoutliers="0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l-GR" sz="1400">
              <a:solidFill>
                <a:schemeClr val="tx1"/>
              </a:solidFill>
            </a:endParaRPr>
          </a:p>
        </cx:txPr>
      </cx:axis>
      <cx:axis id="1">
        <cx:valScaling/>
        <cx:majorGridlines/>
        <cx:tickLabels/>
        <cx:numFmt formatCode="0" sourceLinked="0"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l-GR" sz="1400">
              <a:solidFill>
                <a:schemeClr val="tx1"/>
              </a:solidFill>
            </a:endParaRPr>
          </a:p>
        </cx:txPr>
      </cx:axis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l-GR" sz="1400">
            <a:solidFill>
              <a:schemeClr val="tx1"/>
            </a:solidFill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0</xdr:row>
      <xdr:rowOff>179917</xdr:rowOff>
    </xdr:from>
    <xdr:to>
      <xdr:col>7</xdr:col>
      <xdr:colOff>42334</xdr:colOff>
      <xdr:row>13</xdr:row>
      <xdr:rowOff>21167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5750" y="179917"/>
          <a:ext cx="1926167" cy="2455333"/>
        </a:xfrm>
        <a:prstGeom prst="rect">
          <a:avLst/>
        </a:prstGeom>
        <a:noFill/>
        <a:ln w="28575" cap="flat" cmpd="sng" algn="ctr">
          <a:solidFill>
            <a:schemeClr val="tx1">
              <a:lumMod val="95000"/>
              <a:lumOff val="5000"/>
            </a:schemeClr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1548687692">
                <a:custGeom>
                  <a:avLst/>
                  <a:gdLst>
                    <a:gd name="connsiteX0" fmla="*/ 0 w 1926167"/>
                    <a:gd name="connsiteY0" fmla="*/ 0 h 2455333"/>
                    <a:gd name="connsiteX1" fmla="*/ 443018 w 1926167"/>
                    <a:gd name="connsiteY1" fmla="*/ 0 h 2455333"/>
                    <a:gd name="connsiteX2" fmla="*/ 905298 w 1926167"/>
                    <a:gd name="connsiteY2" fmla="*/ 0 h 2455333"/>
                    <a:gd name="connsiteX3" fmla="*/ 1348317 w 1926167"/>
                    <a:gd name="connsiteY3" fmla="*/ 0 h 2455333"/>
                    <a:gd name="connsiteX4" fmla="*/ 1926167 w 1926167"/>
                    <a:gd name="connsiteY4" fmla="*/ 0 h 2455333"/>
                    <a:gd name="connsiteX5" fmla="*/ 1926167 w 1926167"/>
                    <a:gd name="connsiteY5" fmla="*/ 417407 h 2455333"/>
                    <a:gd name="connsiteX6" fmla="*/ 1926167 w 1926167"/>
                    <a:gd name="connsiteY6" fmla="*/ 957580 h 2455333"/>
                    <a:gd name="connsiteX7" fmla="*/ 1926167 w 1926167"/>
                    <a:gd name="connsiteY7" fmla="*/ 1399540 h 2455333"/>
                    <a:gd name="connsiteX8" fmla="*/ 1926167 w 1926167"/>
                    <a:gd name="connsiteY8" fmla="*/ 1866053 h 2455333"/>
                    <a:gd name="connsiteX9" fmla="*/ 1926167 w 1926167"/>
                    <a:gd name="connsiteY9" fmla="*/ 2455333 h 2455333"/>
                    <a:gd name="connsiteX10" fmla="*/ 1406102 w 1926167"/>
                    <a:gd name="connsiteY10" fmla="*/ 2455333 h 2455333"/>
                    <a:gd name="connsiteX11" fmla="*/ 924560 w 1926167"/>
                    <a:gd name="connsiteY11" fmla="*/ 2455333 h 2455333"/>
                    <a:gd name="connsiteX12" fmla="*/ 481542 w 1926167"/>
                    <a:gd name="connsiteY12" fmla="*/ 2455333 h 2455333"/>
                    <a:gd name="connsiteX13" fmla="*/ 0 w 1926167"/>
                    <a:gd name="connsiteY13" fmla="*/ 2455333 h 2455333"/>
                    <a:gd name="connsiteX14" fmla="*/ 0 w 1926167"/>
                    <a:gd name="connsiteY14" fmla="*/ 2037926 h 2455333"/>
                    <a:gd name="connsiteX15" fmla="*/ 0 w 1926167"/>
                    <a:gd name="connsiteY15" fmla="*/ 1620520 h 2455333"/>
                    <a:gd name="connsiteX16" fmla="*/ 0 w 1926167"/>
                    <a:gd name="connsiteY16" fmla="*/ 1104900 h 2455333"/>
                    <a:gd name="connsiteX17" fmla="*/ 0 w 1926167"/>
                    <a:gd name="connsiteY17" fmla="*/ 687493 h 2455333"/>
                    <a:gd name="connsiteX18" fmla="*/ 0 w 1926167"/>
                    <a:gd name="connsiteY18" fmla="*/ 0 h 245533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</a:cxnLst>
                  <a:rect l="l" t="t" r="r" b="b"/>
                  <a:pathLst>
                    <a:path w="1926167" h="2455333" fill="none" extrusionOk="0">
                      <a:moveTo>
                        <a:pt x="0" y="0"/>
                      </a:moveTo>
                      <a:cubicBezTo>
                        <a:pt x="166842" y="-12220"/>
                        <a:pt x="259682" y="33897"/>
                        <a:pt x="443018" y="0"/>
                      </a:cubicBezTo>
                      <a:cubicBezTo>
                        <a:pt x="626354" y="-33897"/>
                        <a:pt x="811174" y="52419"/>
                        <a:pt x="905298" y="0"/>
                      </a:cubicBezTo>
                      <a:cubicBezTo>
                        <a:pt x="999422" y="-52419"/>
                        <a:pt x="1149320" y="48753"/>
                        <a:pt x="1348317" y="0"/>
                      </a:cubicBezTo>
                      <a:cubicBezTo>
                        <a:pt x="1547314" y="-48753"/>
                        <a:pt x="1742661" y="14147"/>
                        <a:pt x="1926167" y="0"/>
                      </a:cubicBezTo>
                      <a:cubicBezTo>
                        <a:pt x="1954093" y="206256"/>
                        <a:pt x="1898287" y="308221"/>
                        <a:pt x="1926167" y="417407"/>
                      </a:cubicBezTo>
                      <a:cubicBezTo>
                        <a:pt x="1954047" y="526593"/>
                        <a:pt x="1913463" y="802539"/>
                        <a:pt x="1926167" y="957580"/>
                      </a:cubicBezTo>
                      <a:cubicBezTo>
                        <a:pt x="1938871" y="1112621"/>
                        <a:pt x="1913388" y="1201280"/>
                        <a:pt x="1926167" y="1399540"/>
                      </a:cubicBezTo>
                      <a:cubicBezTo>
                        <a:pt x="1938946" y="1597800"/>
                        <a:pt x="1908523" y="1663219"/>
                        <a:pt x="1926167" y="1866053"/>
                      </a:cubicBezTo>
                      <a:cubicBezTo>
                        <a:pt x="1943811" y="2068887"/>
                        <a:pt x="1866455" y="2179456"/>
                        <a:pt x="1926167" y="2455333"/>
                      </a:cubicBezTo>
                      <a:cubicBezTo>
                        <a:pt x="1786958" y="2476951"/>
                        <a:pt x="1528590" y="2405158"/>
                        <a:pt x="1406102" y="2455333"/>
                      </a:cubicBezTo>
                      <a:cubicBezTo>
                        <a:pt x="1283614" y="2505508"/>
                        <a:pt x="1162976" y="2447054"/>
                        <a:pt x="924560" y="2455333"/>
                      </a:cubicBezTo>
                      <a:cubicBezTo>
                        <a:pt x="686144" y="2463612"/>
                        <a:pt x="680823" y="2426061"/>
                        <a:pt x="481542" y="2455333"/>
                      </a:cubicBezTo>
                      <a:cubicBezTo>
                        <a:pt x="282261" y="2484605"/>
                        <a:pt x="143768" y="2453085"/>
                        <a:pt x="0" y="2455333"/>
                      </a:cubicBezTo>
                      <a:cubicBezTo>
                        <a:pt x="-36354" y="2337606"/>
                        <a:pt x="14037" y="2214561"/>
                        <a:pt x="0" y="2037926"/>
                      </a:cubicBezTo>
                      <a:cubicBezTo>
                        <a:pt x="-14037" y="1861291"/>
                        <a:pt x="38877" y="1795077"/>
                        <a:pt x="0" y="1620520"/>
                      </a:cubicBezTo>
                      <a:cubicBezTo>
                        <a:pt x="-38877" y="1445963"/>
                        <a:pt x="14170" y="1320036"/>
                        <a:pt x="0" y="1104900"/>
                      </a:cubicBezTo>
                      <a:cubicBezTo>
                        <a:pt x="-14170" y="889764"/>
                        <a:pt x="18815" y="875188"/>
                        <a:pt x="0" y="687493"/>
                      </a:cubicBezTo>
                      <a:cubicBezTo>
                        <a:pt x="-18815" y="499798"/>
                        <a:pt x="73015" y="275772"/>
                        <a:pt x="0" y="0"/>
                      </a:cubicBezTo>
                      <a:close/>
                    </a:path>
                    <a:path w="1926167" h="2455333" stroke="0" extrusionOk="0">
                      <a:moveTo>
                        <a:pt x="0" y="0"/>
                      </a:moveTo>
                      <a:cubicBezTo>
                        <a:pt x="109040" y="-41247"/>
                        <a:pt x="280883" y="27655"/>
                        <a:pt x="520065" y="0"/>
                      </a:cubicBezTo>
                      <a:cubicBezTo>
                        <a:pt x="759247" y="-27655"/>
                        <a:pt x="868552" y="27283"/>
                        <a:pt x="982345" y="0"/>
                      </a:cubicBezTo>
                      <a:cubicBezTo>
                        <a:pt x="1096138" y="-27283"/>
                        <a:pt x="1315268" y="51868"/>
                        <a:pt x="1444625" y="0"/>
                      </a:cubicBezTo>
                      <a:cubicBezTo>
                        <a:pt x="1573982" y="-51868"/>
                        <a:pt x="1761686" y="40135"/>
                        <a:pt x="1926167" y="0"/>
                      </a:cubicBezTo>
                      <a:cubicBezTo>
                        <a:pt x="1950423" y="134208"/>
                        <a:pt x="1908638" y="245399"/>
                        <a:pt x="1926167" y="417407"/>
                      </a:cubicBezTo>
                      <a:cubicBezTo>
                        <a:pt x="1943696" y="589415"/>
                        <a:pt x="1878880" y="654704"/>
                        <a:pt x="1926167" y="859367"/>
                      </a:cubicBezTo>
                      <a:cubicBezTo>
                        <a:pt x="1973454" y="1064030"/>
                        <a:pt x="1899527" y="1170424"/>
                        <a:pt x="1926167" y="1350433"/>
                      </a:cubicBezTo>
                      <a:cubicBezTo>
                        <a:pt x="1952807" y="1530442"/>
                        <a:pt x="1922854" y="1646892"/>
                        <a:pt x="1926167" y="1767840"/>
                      </a:cubicBezTo>
                      <a:cubicBezTo>
                        <a:pt x="1929480" y="1888788"/>
                        <a:pt x="1847067" y="2132228"/>
                        <a:pt x="1926167" y="2455333"/>
                      </a:cubicBezTo>
                      <a:cubicBezTo>
                        <a:pt x="1797893" y="2488401"/>
                        <a:pt x="1685828" y="2453438"/>
                        <a:pt x="1483149" y="2455333"/>
                      </a:cubicBezTo>
                      <a:cubicBezTo>
                        <a:pt x="1280470" y="2457228"/>
                        <a:pt x="1083755" y="2421047"/>
                        <a:pt x="963084" y="2455333"/>
                      </a:cubicBezTo>
                      <a:cubicBezTo>
                        <a:pt x="842414" y="2489619"/>
                        <a:pt x="653760" y="2445953"/>
                        <a:pt x="443018" y="2455333"/>
                      </a:cubicBezTo>
                      <a:cubicBezTo>
                        <a:pt x="232276" y="2464713"/>
                        <a:pt x="125053" y="2425626"/>
                        <a:pt x="0" y="2455333"/>
                      </a:cubicBezTo>
                      <a:cubicBezTo>
                        <a:pt x="-45760" y="2256420"/>
                        <a:pt x="1320" y="2101495"/>
                        <a:pt x="0" y="1988820"/>
                      </a:cubicBezTo>
                      <a:cubicBezTo>
                        <a:pt x="-1320" y="1876145"/>
                        <a:pt x="61588" y="1702943"/>
                        <a:pt x="0" y="1473200"/>
                      </a:cubicBezTo>
                      <a:cubicBezTo>
                        <a:pt x="-61588" y="1243457"/>
                        <a:pt x="36870" y="1170712"/>
                        <a:pt x="0" y="1055793"/>
                      </a:cubicBezTo>
                      <a:cubicBezTo>
                        <a:pt x="-36870" y="940874"/>
                        <a:pt x="33772" y="755972"/>
                        <a:pt x="0" y="515620"/>
                      </a:cubicBezTo>
                      <a:cubicBezTo>
                        <a:pt x="-33772" y="275268"/>
                        <a:pt x="28424" y="20193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l-GR" sz="1100"/>
        </a:p>
      </xdr:txBody>
    </xdr:sp>
    <xdr:clientData/>
  </xdr:twoCellAnchor>
  <xdr:twoCellAnchor>
    <xdr:from>
      <xdr:col>4</xdr:col>
      <xdr:colOff>137584</xdr:colOff>
      <xdr:row>0</xdr:row>
      <xdr:rowOff>179917</xdr:rowOff>
    </xdr:from>
    <xdr:to>
      <xdr:col>6</xdr:col>
      <xdr:colOff>571500</xdr:colOff>
      <xdr:row>13</xdr:row>
      <xdr:rowOff>21166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005667" y="179917"/>
          <a:ext cx="1661583" cy="2455332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2857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1548687692">
                <a:custGeom>
                  <a:avLst/>
                  <a:gdLst>
                    <a:gd name="connsiteX0" fmla="*/ 0 w 1703917"/>
                    <a:gd name="connsiteY0" fmla="*/ 0 h 2455332"/>
                    <a:gd name="connsiteX1" fmla="*/ 602051 w 1703917"/>
                    <a:gd name="connsiteY1" fmla="*/ 0 h 2455332"/>
                    <a:gd name="connsiteX2" fmla="*/ 1152984 w 1703917"/>
                    <a:gd name="connsiteY2" fmla="*/ 0 h 2455332"/>
                    <a:gd name="connsiteX3" fmla="*/ 1703917 w 1703917"/>
                    <a:gd name="connsiteY3" fmla="*/ 0 h 2455332"/>
                    <a:gd name="connsiteX4" fmla="*/ 1703917 w 1703917"/>
                    <a:gd name="connsiteY4" fmla="*/ 540173 h 2455332"/>
                    <a:gd name="connsiteX5" fmla="*/ 1703917 w 1703917"/>
                    <a:gd name="connsiteY5" fmla="*/ 1031239 h 2455332"/>
                    <a:gd name="connsiteX6" fmla="*/ 1703917 w 1703917"/>
                    <a:gd name="connsiteY6" fmla="*/ 1473199 h 2455332"/>
                    <a:gd name="connsiteX7" fmla="*/ 1703917 w 1703917"/>
                    <a:gd name="connsiteY7" fmla="*/ 1964266 h 2455332"/>
                    <a:gd name="connsiteX8" fmla="*/ 1703917 w 1703917"/>
                    <a:gd name="connsiteY8" fmla="*/ 2455332 h 2455332"/>
                    <a:gd name="connsiteX9" fmla="*/ 1187062 w 1703917"/>
                    <a:gd name="connsiteY9" fmla="*/ 2455332 h 2455332"/>
                    <a:gd name="connsiteX10" fmla="*/ 602051 w 1703917"/>
                    <a:gd name="connsiteY10" fmla="*/ 2455332 h 2455332"/>
                    <a:gd name="connsiteX11" fmla="*/ 0 w 1703917"/>
                    <a:gd name="connsiteY11" fmla="*/ 2455332 h 2455332"/>
                    <a:gd name="connsiteX12" fmla="*/ 0 w 1703917"/>
                    <a:gd name="connsiteY12" fmla="*/ 1915159 h 2455332"/>
                    <a:gd name="connsiteX13" fmla="*/ 0 w 1703917"/>
                    <a:gd name="connsiteY13" fmla="*/ 1473199 h 2455332"/>
                    <a:gd name="connsiteX14" fmla="*/ 0 w 1703917"/>
                    <a:gd name="connsiteY14" fmla="*/ 957579 h 2455332"/>
                    <a:gd name="connsiteX15" fmla="*/ 0 w 1703917"/>
                    <a:gd name="connsiteY15" fmla="*/ 441960 h 2455332"/>
                    <a:gd name="connsiteX16" fmla="*/ 0 w 1703917"/>
                    <a:gd name="connsiteY16" fmla="*/ 0 h 2455332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1703917" h="2455332" extrusionOk="0">
                      <a:moveTo>
                        <a:pt x="0" y="0"/>
                      </a:moveTo>
                      <a:cubicBezTo>
                        <a:pt x="283993" y="-19084"/>
                        <a:pt x="363666" y="23528"/>
                        <a:pt x="602051" y="0"/>
                      </a:cubicBezTo>
                      <a:cubicBezTo>
                        <a:pt x="840436" y="-23528"/>
                        <a:pt x="1037220" y="25832"/>
                        <a:pt x="1152984" y="0"/>
                      </a:cubicBezTo>
                      <a:cubicBezTo>
                        <a:pt x="1268748" y="-25832"/>
                        <a:pt x="1564158" y="19394"/>
                        <a:pt x="1703917" y="0"/>
                      </a:cubicBezTo>
                      <a:cubicBezTo>
                        <a:pt x="1739169" y="131770"/>
                        <a:pt x="1695266" y="380723"/>
                        <a:pt x="1703917" y="540173"/>
                      </a:cubicBezTo>
                      <a:cubicBezTo>
                        <a:pt x="1712568" y="699623"/>
                        <a:pt x="1664070" y="892189"/>
                        <a:pt x="1703917" y="1031239"/>
                      </a:cubicBezTo>
                      <a:cubicBezTo>
                        <a:pt x="1743764" y="1170289"/>
                        <a:pt x="1656630" y="1268536"/>
                        <a:pt x="1703917" y="1473199"/>
                      </a:cubicBezTo>
                      <a:cubicBezTo>
                        <a:pt x="1751204" y="1677862"/>
                        <a:pt x="1685983" y="1781915"/>
                        <a:pt x="1703917" y="1964266"/>
                      </a:cubicBezTo>
                      <a:cubicBezTo>
                        <a:pt x="1721851" y="2146617"/>
                        <a:pt x="1697437" y="2352905"/>
                        <a:pt x="1703917" y="2455332"/>
                      </a:cubicBezTo>
                      <a:cubicBezTo>
                        <a:pt x="1486650" y="2485936"/>
                        <a:pt x="1296381" y="2430006"/>
                        <a:pt x="1187062" y="2455332"/>
                      </a:cubicBezTo>
                      <a:cubicBezTo>
                        <a:pt x="1077744" y="2480658"/>
                        <a:pt x="800787" y="2442658"/>
                        <a:pt x="602051" y="2455332"/>
                      </a:cubicBezTo>
                      <a:cubicBezTo>
                        <a:pt x="403315" y="2468006"/>
                        <a:pt x="132702" y="2383651"/>
                        <a:pt x="0" y="2455332"/>
                      </a:cubicBezTo>
                      <a:cubicBezTo>
                        <a:pt x="-36091" y="2322850"/>
                        <a:pt x="24439" y="2024827"/>
                        <a:pt x="0" y="1915159"/>
                      </a:cubicBezTo>
                      <a:cubicBezTo>
                        <a:pt x="-24439" y="1805491"/>
                        <a:pt x="39494" y="1589956"/>
                        <a:pt x="0" y="1473199"/>
                      </a:cubicBezTo>
                      <a:cubicBezTo>
                        <a:pt x="-39494" y="1356442"/>
                        <a:pt x="51173" y="1094875"/>
                        <a:pt x="0" y="957579"/>
                      </a:cubicBezTo>
                      <a:cubicBezTo>
                        <a:pt x="-51173" y="820283"/>
                        <a:pt x="3166" y="668433"/>
                        <a:pt x="0" y="441960"/>
                      </a:cubicBezTo>
                      <a:cubicBezTo>
                        <a:pt x="-3166" y="215487"/>
                        <a:pt x="8329" y="111587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l-G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4</xdr:row>
          <xdr:rowOff>57150</xdr:rowOff>
        </xdr:from>
        <xdr:to>
          <xdr:col>6</xdr:col>
          <xdr:colOff>514350</xdr:colOff>
          <xdr:row>6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200" b="0" i="0" u="none" strike="noStrike" baseline="0">
                  <a:solidFill>
                    <a:srgbClr val="000000"/>
                  </a:solidFill>
                  <a:latin typeface="Calibri"/>
                </a:rPr>
                <a:t>Delta Method </a:t>
              </a:r>
            </a:p>
            <a:p>
              <a:pPr algn="ctr" rtl="0">
                <a:defRPr sz="1000"/>
              </a:pPr>
              <a:r>
                <a:rPr lang="el-GR" sz="1200" b="0" i="0" u="none" strike="noStrike" baseline="0">
                  <a:solidFill>
                    <a:srgbClr val="000000"/>
                  </a:solidFill>
                  <a:latin typeface="Calibri"/>
                </a:rPr>
                <a:t>Mean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95250</xdr:rowOff>
        </xdr:from>
        <xdr:to>
          <xdr:col>6</xdr:col>
          <xdr:colOff>438150</xdr:colOff>
          <xdr:row>3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200" b="0" i="0" u="none" strike="noStrike" baseline="0">
                  <a:solidFill>
                    <a:srgbClr val="000000"/>
                  </a:solidFill>
                  <a:latin typeface="Calibri"/>
                </a:rPr>
                <a:t>Monthly Average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7</xdr:row>
          <xdr:rowOff>95250</xdr:rowOff>
        </xdr:from>
        <xdr:to>
          <xdr:col>6</xdr:col>
          <xdr:colOff>514350</xdr:colOff>
          <xdr:row>9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200" b="0" i="0" u="none" strike="noStrike" baseline="0">
                  <a:solidFill>
                    <a:srgbClr val="000000"/>
                  </a:solidFill>
                  <a:latin typeface="Calibri"/>
                </a:rPr>
                <a:t>Delta Method </a:t>
              </a:r>
            </a:p>
            <a:p>
              <a:pPr algn="ctr" rtl="0">
                <a:defRPr sz="1000"/>
              </a:pPr>
              <a:r>
                <a:rPr lang="el-GR" sz="1200" b="0" i="0" u="none" strike="noStrike" baseline="0">
                  <a:solidFill>
                    <a:srgbClr val="000000"/>
                  </a:solidFill>
                  <a:latin typeface="Calibri"/>
                </a:rPr>
                <a:t>Mean &amp; Variance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10</xdr:row>
          <xdr:rowOff>66675</xdr:rowOff>
        </xdr:from>
        <xdr:to>
          <xdr:col>6</xdr:col>
          <xdr:colOff>523875</xdr:colOff>
          <xdr:row>12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200" b="0" i="0" u="none" strike="noStrike" baseline="0">
                  <a:solidFill>
                    <a:srgbClr val="000000"/>
                  </a:solidFill>
                  <a:latin typeface="Calibri"/>
                </a:rPr>
                <a:t>Quantile G Mapping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731763</xdr:colOff>
      <xdr:row>21</xdr:row>
      <xdr:rowOff>37796</xdr:rowOff>
    </xdr:from>
    <xdr:to>
      <xdr:col>8</xdr:col>
      <xdr:colOff>585108</xdr:colOff>
      <xdr:row>35</xdr:row>
      <xdr:rowOff>178403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1763" y="4257371"/>
              <a:ext cx="5149245" cy="29409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l-G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doi.org/10.1007/s11269-022-03392-x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C29E1-DB38-451B-8489-D2697331508A}">
  <sheetPr codeName="Sheet1"/>
  <dimension ref="A1:AB1561"/>
  <sheetViews>
    <sheetView tabSelected="1" zoomScale="70" zoomScaleNormal="70" workbookViewId="0">
      <selection activeCell="U8" sqref="U8"/>
    </sheetView>
  </sheetViews>
  <sheetFormatPr defaultRowHeight="15.75" x14ac:dyDescent="0.25"/>
  <cols>
    <col min="1" max="1" width="11.7109375" style="5" bestFit="1" customWidth="1"/>
    <col min="2" max="2" width="9.140625" style="6"/>
    <col min="3" max="3" width="12.85546875" style="5" bestFit="1" customWidth="1"/>
    <col min="4" max="4" width="9.140625" style="6"/>
    <col min="9" max="9" width="9.140625" customWidth="1"/>
    <col min="11" max="11" width="10.85546875" bestFit="1" customWidth="1"/>
    <col min="12" max="12" width="11.5703125" bestFit="1" customWidth="1"/>
    <col min="13" max="13" width="11.42578125" bestFit="1" customWidth="1"/>
    <col min="14" max="14" width="12.42578125" bestFit="1" customWidth="1"/>
    <col min="17" max="17" width="11.7109375" style="5" bestFit="1" customWidth="1"/>
    <col min="18" max="18" width="13.5703125" bestFit="1" customWidth="1"/>
    <col min="19" max="19" width="14.5703125" bestFit="1" customWidth="1"/>
    <col min="20" max="20" width="15.28515625" bestFit="1" customWidth="1"/>
    <col min="21" max="21" width="15.42578125" bestFit="1" customWidth="1"/>
  </cols>
  <sheetData>
    <row r="1" spans="1:28" x14ac:dyDescent="0.25">
      <c r="A1" s="2" t="s">
        <v>0</v>
      </c>
      <c r="B1" s="2" t="s">
        <v>1</v>
      </c>
      <c r="C1" s="2" t="s">
        <v>2</v>
      </c>
      <c r="D1" s="3" t="s">
        <v>3</v>
      </c>
      <c r="E1" s="8"/>
      <c r="F1" s="8"/>
      <c r="G1" s="8"/>
      <c r="H1" s="8"/>
      <c r="J1" s="2" t="s">
        <v>3</v>
      </c>
      <c r="K1" s="2" t="s">
        <v>7</v>
      </c>
      <c r="L1" s="2" t="s">
        <v>8</v>
      </c>
      <c r="M1" s="14" t="s">
        <v>9</v>
      </c>
      <c r="N1" s="15" t="s">
        <v>10</v>
      </c>
      <c r="O1" s="15" t="s">
        <v>11</v>
      </c>
      <c r="Q1" s="2" t="s">
        <v>0</v>
      </c>
      <c r="R1" s="14" t="s">
        <v>12</v>
      </c>
      <c r="S1" t="s">
        <v>15</v>
      </c>
      <c r="T1" t="s">
        <v>20</v>
      </c>
      <c r="U1" t="s">
        <v>21</v>
      </c>
      <c r="W1" s="20" t="s">
        <v>22</v>
      </c>
      <c r="X1" s="21"/>
      <c r="Y1" s="21"/>
      <c r="Z1" s="21"/>
      <c r="AA1" s="21"/>
      <c r="AB1" s="22"/>
    </row>
    <row r="2" spans="1:28" x14ac:dyDescent="0.25">
      <c r="A2" s="4">
        <v>25934</v>
      </c>
      <c r="B2" s="9">
        <v>21.735001347476658</v>
      </c>
      <c r="C2" s="9">
        <v>24.578829792610854</v>
      </c>
      <c r="D2" s="5">
        <f>MONTH(A2)</f>
        <v>1</v>
      </c>
      <c r="E2" s="17"/>
      <c r="F2" s="1"/>
      <c r="G2" s="1"/>
      <c r="H2" s="7"/>
      <c r="J2" s="13">
        <v>1</v>
      </c>
      <c r="K2" s="12">
        <f>AVERAGEIF($D$2:$D$361,J2,$B$2:$B$361)</f>
        <v>27.07819769897711</v>
      </c>
      <c r="L2" s="12">
        <f>AVERAGEIF($D$2:$D$361,J2,$C$2:$C$361)</f>
        <v>15.806542161991779</v>
      </c>
      <c r="M2" cm="1">
        <f t="array" ref="M2">STDEV(IF($D$2:D$361=J2,B$2:B$361))</f>
        <v>41.841897742713407</v>
      </c>
      <c r="N2" cm="1">
        <f t="array" ref="N2">STDEV(IF($D$2:D$361=J2,C$2:C$361))</f>
        <v>15.224832221595747</v>
      </c>
      <c r="O2" s="12">
        <f>K2/L2</f>
        <v>1.7131006529745019</v>
      </c>
      <c r="Q2" s="4">
        <v>25934</v>
      </c>
      <c r="R2" s="12">
        <v>42.106009367070797</v>
      </c>
      <c r="S2" s="12">
        <v>36.495054716963885</v>
      </c>
      <c r="T2" s="16">
        <v>0.79054451425889927</v>
      </c>
      <c r="U2" s="12">
        <v>41.939073536558247</v>
      </c>
      <c r="W2" s="23"/>
      <c r="X2" s="24"/>
      <c r="Y2" s="24"/>
      <c r="Z2" s="24"/>
      <c r="AA2" s="24"/>
      <c r="AB2" s="25"/>
    </row>
    <row r="3" spans="1:28" x14ac:dyDescent="0.25">
      <c r="A3" s="4">
        <v>25965</v>
      </c>
      <c r="B3" s="9">
        <v>66.483950083963649</v>
      </c>
      <c r="C3" s="9">
        <v>2.7072737822849255</v>
      </c>
      <c r="D3" s="5">
        <f t="shared" ref="D3:D66" si="0">MONTH(A3)</f>
        <v>2</v>
      </c>
      <c r="E3" s="18">
        <v>0</v>
      </c>
      <c r="F3" s="1"/>
      <c r="G3" s="1"/>
      <c r="H3" s="7"/>
      <c r="J3" s="13">
        <v>2</v>
      </c>
      <c r="K3" s="12">
        <f t="shared" ref="K3:K13" si="1">AVERAGEIF($D$2:$D$361,J3,$B$2:$B$361)</f>
        <v>29.089421497253113</v>
      </c>
      <c r="L3" s="12">
        <f t="shared" ref="L3:L13" si="2">AVERAGEIF($D$2:$D$361,J3,$C$2:$C$361)</f>
        <v>20.299551357508754</v>
      </c>
      <c r="M3" cm="1">
        <f t="array" ref="M3">STDEV(IF($D$2:D$361=J3,B$2:B$361))</f>
        <v>26.323576732981284</v>
      </c>
      <c r="N3" cm="1">
        <f t="array" ref="N3">STDEV(IF($D$2:D$361=J3,C$2:C$361))</f>
        <v>20.354665393810844</v>
      </c>
      <c r="O3" s="12">
        <f t="shared" ref="O3:O13" si="3">K3/L3</f>
        <v>1.4330080987968736</v>
      </c>
      <c r="Q3" s="4">
        <v>25965</v>
      </c>
      <c r="R3" s="12">
        <v>3.8795452556747425</v>
      </c>
      <c r="S3" s="12">
        <v>5.3311038922570848</v>
      </c>
      <c r="T3" s="16">
        <v>0.12589764261205091</v>
      </c>
      <c r="U3" s="12">
        <v>5.2616434271181429</v>
      </c>
      <c r="W3" s="23"/>
      <c r="X3" s="24"/>
      <c r="Y3" s="24"/>
      <c r="Z3" s="24"/>
      <c r="AA3" s="24"/>
      <c r="AB3" s="25"/>
    </row>
    <row r="4" spans="1:28" x14ac:dyDescent="0.25">
      <c r="A4" s="4">
        <v>25993</v>
      </c>
      <c r="B4" s="9">
        <v>10.969914369354562</v>
      </c>
      <c r="C4" s="9">
        <v>41.287355544340144</v>
      </c>
      <c r="D4" s="5">
        <f t="shared" si="0"/>
        <v>3</v>
      </c>
      <c r="E4" s="17"/>
      <c r="F4" s="1"/>
      <c r="G4" s="1"/>
      <c r="H4" s="7"/>
      <c r="J4" s="13">
        <v>3</v>
      </c>
      <c r="K4" s="12">
        <f t="shared" si="1"/>
        <v>24.221166961175722</v>
      </c>
      <c r="L4" s="12">
        <f t="shared" si="2"/>
        <v>21.41375353060911</v>
      </c>
      <c r="M4" cm="1">
        <f t="array" ref="M4">STDEV(IF($D$2:D$361=J4,B$2:B$361))</f>
        <v>26.494170239737461</v>
      </c>
      <c r="N4" cm="1">
        <f t="array" ref="N4">STDEV(IF($D$2:D$361=J4,C$2:C$361))</f>
        <v>16.18759425804129</v>
      </c>
      <c r="O4" s="12">
        <f t="shared" si="3"/>
        <v>1.1311032849310447</v>
      </c>
      <c r="Q4" s="4">
        <v>25993</v>
      </c>
      <c r="R4" s="12">
        <v>46.700263482319123</v>
      </c>
      <c r="S4" s="12">
        <v>53.617788558405358</v>
      </c>
      <c r="T4" s="16">
        <v>0.88777325808404595</v>
      </c>
      <c r="U4" s="12">
        <v>55.124948520546297</v>
      </c>
      <c r="W4" s="23"/>
      <c r="X4" s="24"/>
      <c r="Y4" s="24"/>
      <c r="Z4" s="24"/>
      <c r="AA4" s="24"/>
      <c r="AB4" s="25"/>
    </row>
    <row r="5" spans="1:28" x14ac:dyDescent="0.25">
      <c r="A5" s="4">
        <v>26024</v>
      </c>
      <c r="B5" s="9">
        <v>10.066293999527009</v>
      </c>
      <c r="C5" s="9">
        <v>60.502148910067902</v>
      </c>
      <c r="D5" s="5">
        <f t="shared" si="0"/>
        <v>4</v>
      </c>
      <c r="E5" s="17"/>
      <c r="F5" s="1"/>
      <c r="G5" s="1"/>
      <c r="H5" s="7"/>
      <c r="J5" s="13">
        <v>4</v>
      </c>
      <c r="K5" s="12">
        <f t="shared" si="1"/>
        <v>20.720338396963459</v>
      </c>
      <c r="L5" s="12">
        <f t="shared" si="2"/>
        <v>25.78182859060983</v>
      </c>
      <c r="M5" cm="1">
        <f t="array" ref="M5">STDEV(IF($D$2:D$361=J5,B$2:B$361))</f>
        <v>21.70513664406883</v>
      </c>
      <c r="N5" cm="1">
        <f t="array" ref="N5">STDEV(IF($D$2:D$361=J5,C$2:C$361))</f>
        <v>18.906555693131246</v>
      </c>
      <c r="O5" s="12">
        <f t="shared" si="3"/>
        <v>0.80367993775701974</v>
      </c>
      <c r="Q5" s="4">
        <v>26024</v>
      </c>
      <c r="R5" s="12">
        <v>48.624363270209308</v>
      </c>
      <c r="S5" s="12">
        <v>65.35726349237973</v>
      </c>
      <c r="T5" s="16">
        <v>0.94324955228902196</v>
      </c>
      <c r="U5" s="12">
        <v>61.343707126953298</v>
      </c>
      <c r="W5" s="23"/>
      <c r="X5" s="24"/>
      <c r="Y5" s="24"/>
      <c r="Z5" s="24"/>
      <c r="AA5" s="24"/>
      <c r="AB5" s="25"/>
    </row>
    <row r="6" spans="1:28" x14ac:dyDescent="0.25">
      <c r="A6" s="4">
        <v>26054</v>
      </c>
      <c r="B6" s="9">
        <v>21.416891802305063</v>
      </c>
      <c r="C6" s="9">
        <v>56.22297490092599</v>
      </c>
      <c r="D6" s="5">
        <f t="shared" si="0"/>
        <v>5</v>
      </c>
      <c r="E6" s="19">
        <v>1</v>
      </c>
      <c r="F6" s="1"/>
      <c r="G6" s="1"/>
      <c r="H6" s="8"/>
      <c r="J6" s="13">
        <v>5</v>
      </c>
      <c r="K6" s="12">
        <f t="shared" si="1"/>
        <v>15.18405339479512</v>
      </c>
      <c r="L6" s="12">
        <f t="shared" si="2"/>
        <v>34.28748046881821</v>
      </c>
      <c r="M6" cm="1">
        <f t="array" ref="M6">STDEV(IF($D$2:D$361=J6,B$2:B$361))</f>
        <v>16.119679152844551</v>
      </c>
      <c r="N6" cm="1">
        <f t="array" ref="N6">STDEV(IF($D$2:D$361=J6,C$2:C$361))</f>
        <v>23.370088411637919</v>
      </c>
      <c r="O6" s="12">
        <f t="shared" si="3"/>
        <v>0.44284541142076134</v>
      </c>
      <c r="Q6" s="4">
        <v>26054</v>
      </c>
      <c r="R6" s="12">
        <v>24.898086451299708</v>
      </c>
      <c r="S6" s="12">
        <v>27.721994735896001</v>
      </c>
      <c r="T6" s="16">
        <v>0.84376934951069171</v>
      </c>
      <c r="U6" s="12">
        <v>28.683839148051025</v>
      </c>
      <c r="W6" s="26"/>
      <c r="X6" s="27"/>
      <c r="Y6" s="27"/>
      <c r="Z6" s="27"/>
      <c r="AA6" s="27"/>
      <c r="AB6" s="28"/>
    </row>
    <row r="7" spans="1:28" ht="17.25" x14ac:dyDescent="0.25">
      <c r="A7" s="4">
        <v>26085</v>
      </c>
      <c r="B7" s="9">
        <v>21.826650024029608</v>
      </c>
      <c r="C7" s="9">
        <v>28.60585922161556</v>
      </c>
      <c r="D7" s="5">
        <f t="shared" si="0"/>
        <v>6</v>
      </c>
      <c r="E7" s="17"/>
      <c r="F7" s="1"/>
      <c r="G7" s="1"/>
      <c r="J7" s="13">
        <v>6</v>
      </c>
      <c r="K7" s="12">
        <f t="shared" si="1"/>
        <v>11.18018936659041</v>
      </c>
      <c r="L7" s="12">
        <f t="shared" si="2"/>
        <v>31.042041041125035</v>
      </c>
      <c r="M7" cm="1">
        <f t="array" ref="M7">STDEV(IF($D$2:D$361=J7,B$2:B$361))</f>
        <v>16.351699952965411</v>
      </c>
      <c r="N7" cm="1">
        <f t="array" ref="N7">STDEV(IF($D$2:D$361=J7,C$2:C$361))</f>
        <v>26.97894798811873</v>
      </c>
      <c r="O7" s="12">
        <f t="shared" si="3"/>
        <v>0.36016283052324749</v>
      </c>
      <c r="Q7" s="4">
        <v>26085</v>
      </c>
      <c r="R7" s="12">
        <v>10.302767226806601</v>
      </c>
      <c r="S7" s="12">
        <v>6.5073346142047956</v>
      </c>
      <c r="T7" s="16">
        <v>0.58002604539344571</v>
      </c>
      <c r="U7" s="12">
        <v>6.9591357960270743</v>
      </c>
      <c r="W7" s="29" t="s">
        <v>4</v>
      </c>
      <c r="X7" s="30"/>
      <c r="Y7" s="30"/>
      <c r="Z7" s="30"/>
      <c r="AA7" s="30"/>
      <c r="AB7" s="31"/>
    </row>
    <row r="8" spans="1:28" x14ac:dyDescent="0.25">
      <c r="A8" s="4">
        <v>26115</v>
      </c>
      <c r="B8" s="9">
        <v>8.3456182709910696</v>
      </c>
      <c r="C8" s="9">
        <v>90.382946119948841</v>
      </c>
      <c r="D8" s="5">
        <f t="shared" si="0"/>
        <v>7</v>
      </c>
      <c r="E8" s="17"/>
      <c r="F8" s="1"/>
      <c r="G8" s="1"/>
      <c r="J8" s="13">
        <v>7</v>
      </c>
      <c r="K8" s="12">
        <f t="shared" si="1"/>
        <v>9.296620881782049</v>
      </c>
      <c r="L8" s="12">
        <f t="shared" si="2"/>
        <v>45.74057626925201</v>
      </c>
      <c r="M8" cm="1">
        <f t="array" ref="M8">STDEV(IF($D$2:D$361=J8,B$2:B$361))</f>
        <v>10.617244566345786</v>
      </c>
      <c r="N8" cm="1">
        <f t="array" ref="N8">STDEV(IF($D$2:D$361=J8,C$2:C$361))</f>
        <v>29.616185482617439</v>
      </c>
      <c r="O8" s="12">
        <f t="shared" si="3"/>
        <v>0.20324669341849713</v>
      </c>
      <c r="Q8" s="4">
        <v>26115</v>
      </c>
      <c r="R8" s="12">
        <v>18.370034940301785</v>
      </c>
      <c r="S8" s="12">
        <v>26.069563998517395</v>
      </c>
      <c r="T8" s="16">
        <v>0.9178045116289234</v>
      </c>
      <c r="U8" s="12">
        <v>25.025575539683292</v>
      </c>
    </row>
    <row r="9" spans="1:28" x14ac:dyDescent="0.25">
      <c r="A9" s="4">
        <v>26146</v>
      </c>
      <c r="B9" s="9">
        <v>9.2710543228718922</v>
      </c>
      <c r="C9" s="9">
        <v>65.255359165302295</v>
      </c>
      <c r="D9" s="5">
        <f t="shared" si="0"/>
        <v>8</v>
      </c>
      <c r="E9" s="19">
        <v>2</v>
      </c>
      <c r="F9" s="1"/>
      <c r="G9" s="1"/>
      <c r="J9" s="13">
        <v>8</v>
      </c>
      <c r="K9" s="12">
        <f t="shared" si="1"/>
        <v>9.0695486731706367</v>
      </c>
      <c r="L9" s="12">
        <f t="shared" si="2"/>
        <v>26.386021786396796</v>
      </c>
      <c r="M9" cm="1">
        <f t="array" ref="M9">STDEV(IF($D$2:D$361=J9,B$2:B$361))</f>
        <v>10.820655537688445</v>
      </c>
      <c r="N9" cm="1">
        <f t="array" ref="N9">STDEV(IF($D$2:D$361=J9,C$2:C$361))</f>
        <v>23.087001085100077</v>
      </c>
      <c r="O9" s="12">
        <f t="shared" si="3"/>
        <v>0.34372550536763391</v>
      </c>
      <c r="Q9" s="4">
        <v>26146</v>
      </c>
      <c r="R9" s="12">
        <v>22.429931307039993</v>
      </c>
      <c r="S9" s="12">
        <v>28.414406904148851</v>
      </c>
      <c r="T9" s="16">
        <v>0.93174871444134744</v>
      </c>
      <c r="U9" s="12">
        <v>27.178334172712351</v>
      </c>
    </row>
    <row r="10" spans="1:28" x14ac:dyDescent="0.25">
      <c r="A10" s="4">
        <v>26177</v>
      </c>
      <c r="B10" s="9">
        <v>33.578851594619579</v>
      </c>
      <c r="C10" s="9">
        <v>7.5794724310359616</v>
      </c>
      <c r="D10" s="5">
        <f t="shared" si="0"/>
        <v>9</v>
      </c>
      <c r="E10" s="17"/>
      <c r="F10" s="1"/>
      <c r="G10" s="1"/>
      <c r="J10" s="13">
        <v>9</v>
      </c>
      <c r="K10" s="12">
        <f t="shared" si="1"/>
        <v>13.936080341472213</v>
      </c>
      <c r="L10" s="12">
        <f t="shared" si="2"/>
        <v>34.547265539142018</v>
      </c>
      <c r="M10" cm="1">
        <f t="array" ref="M10">STDEV(IF($D$2:D$361=J10,B$2:B$361))</f>
        <v>24.500188931647312</v>
      </c>
      <c r="N10" cm="1">
        <f t="array" ref="N10">STDEV(IF($D$2:D$361=J10,C$2:C$361))</f>
        <v>35.929008098038295</v>
      </c>
      <c r="O10" s="12">
        <f t="shared" si="3"/>
        <v>0.40339170478435254</v>
      </c>
      <c r="Q10" s="4">
        <v>26177</v>
      </c>
      <c r="R10" s="12">
        <v>3.0574963053215973</v>
      </c>
      <c r="S10" s="12">
        <v>0.84861223073811765</v>
      </c>
      <c r="T10" s="16">
        <v>0.2142442824189062</v>
      </c>
      <c r="U10" s="12">
        <v>0.26187789786029742</v>
      </c>
      <c r="X10" s="32" t="s">
        <v>5</v>
      </c>
      <c r="Y10" s="33"/>
      <c r="Z10" s="34"/>
    </row>
    <row r="11" spans="1:28" x14ac:dyDescent="0.25">
      <c r="A11" s="4">
        <v>26207</v>
      </c>
      <c r="B11" s="9">
        <v>54.282626774306422</v>
      </c>
      <c r="C11" s="9">
        <v>22.897362846112124</v>
      </c>
      <c r="D11" s="5">
        <f t="shared" si="0"/>
        <v>10</v>
      </c>
      <c r="E11" s="17"/>
      <c r="F11" s="1"/>
      <c r="G11" s="1"/>
      <c r="J11" s="13">
        <v>10</v>
      </c>
      <c r="K11" s="12">
        <f t="shared" si="1"/>
        <v>28.1510458873692</v>
      </c>
      <c r="L11" s="12">
        <f t="shared" si="2"/>
        <v>22.673138495505977</v>
      </c>
      <c r="M11" cm="1">
        <f t="array" ref="M11">STDEV(IF($D$2:D$361=J11,B$2:B$361))</f>
        <v>26.804595216645726</v>
      </c>
      <c r="N11" cm="1">
        <f t="array" ref="N11">STDEV(IF($D$2:D$361=J11,C$2:C$361))</f>
        <v>20.498847521003103</v>
      </c>
      <c r="O11" s="12">
        <f t="shared" si="3"/>
        <v>1.2416034018823197</v>
      </c>
      <c r="Q11" s="4">
        <v>26207</v>
      </c>
      <c r="R11" s="12">
        <v>28.429443603866645</v>
      </c>
      <c r="S11" s="12">
        <v>27.886903974999829</v>
      </c>
      <c r="T11" s="16">
        <v>0.62384456312719561</v>
      </c>
      <c r="U11" s="12">
        <v>27.996345181954055</v>
      </c>
      <c r="X11" s="35"/>
      <c r="Y11" s="36"/>
      <c r="Z11" s="37"/>
    </row>
    <row r="12" spans="1:28" x14ac:dyDescent="0.25">
      <c r="A12" s="4">
        <v>26238</v>
      </c>
      <c r="B12" s="9">
        <v>11.565306183978505</v>
      </c>
      <c r="C12" s="9">
        <v>12.232192186009756</v>
      </c>
      <c r="D12" s="5">
        <f t="shared" si="0"/>
        <v>11</v>
      </c>
      <c r="E12" s="19">
        <v>3</v>
      </c>
      <c r="F12" s="1"/>
      <c r="G12" s="1"/>
      <c r="J12" s="13">
        <v>11</v>
      </c>
      <c r="K12" s="12">
        <f t="shared" si="1"/>
        <v>34.407698855792042</v>
      </c>
      <c r="L12" s="12">
        <f t="shared" si="2"/>
        <v>33.427292979884783</v>
      </c>
      <c r="M12" cm="1">
        <f t="array" ref="M12">STDEV(IF($D$2:D$361=J12,B$2:B$361))</f>
        <v>40.444136350045888</v>
      </c>
      <c r="N12" cm="1">
        <f t="array" ref="N12">STDEV(IF($D$2:D$361=J12,C$2:C$361))</f>
        <v>37.935038671181502</v>
      </c>
      <c r="O12" s="12">
        <f t="shared" si="3"/>
        <v>1.0293295025863216</v>
      </c>
      <c r="Q12" s="4">
        <v>26238</v>
      </c>
      <c r="R12" s="12">
        <v>12.590956298365713</v>
      </c>
      <c r="S12" s="12">
        <v>11.909701412273201</v>
      </c>
      <c r="T12" s="16">
        <v>0.36056525587097243</v>
      </c>
      <c r="U12" s="12">
        <v>11.787190863260669</v>
      </c>
      <c r="X12" s="35"/>
      <c r="Y12" s="36"/>
      <c r="Z12" s="37"/>
    </row>
    <row r="13" spans="1:28" x14ac:dyDescent="0.25">
      <c r="A13" s="4">
        <v>26268</v>
      </c>
      <c r="B13" s="9">
        <v>29.950610239434624</v>
      </c>
      <c r="C13" s="9">
        <v>23.182287475832037</v>
      </c>
      <c r="D13" s="5">
        <f t="shared" si="0"/>
        <v>12</v>
      </c>
      <c r="E13" s="1"/>
      <c r="F13" s="1"/>
      <c r="G13" s="1"/>
      <c r="J13" s="13">
        <v>12</v>
      </c>
      <c r="K13" s="12">
        <f t="shared" si="1"/>
        <v>26.20115827936678</v>
      </c>
      <c r="L13" s="12">
        <f t="shared" si="2"/>
        <v>14.377741125253335</v>
      </c>
      <c r="M13" cm="1">
        <f t="array" ref="M13">STDEV(IF($D$2:D$361=J13,B$2:B$361))</f>
        <v>24.348791355298115</v>
      </c>
      <c r="N13" cm="1">
        <f t="array" ref="N13">STDEV(IF($D$2:D$361=J13,C$2:C$361))</f>
        <v>16.889478958519639</v>
      </c>
      <c r="O13" s="12">
        <f t="shared" si="3"/>
        <v>1.822341774769235</v>
      </c>
      <c r="Q13" s="4">
        <v>26268</v>
      </c>
      <c r="R13" s="12">
        <v>42.246050901918366</v>
      </c>
      <c r="S13" s="12">
        <v>41.533529220423603</v>
      </c>
      <c r="T13" s="16">
        <v>0.79503653226796001</v>
      </c>
      <c r="U13" s="12">
        <v>41.038325209661785</v>
      </c>
      <c r="X13" s="35"/>
      <c r="Y13" s="36"/>
      <c r="Z13" s="37"/>
    </row>
    <row r="14" spans="1:28" x14ac:dyDescent="0.25">
      <c r="A14" s="4">
        <v>26299</v>
      </c>
      <c r="B14" s="9">
        <v>46.824538590188126</v>
      </c>
      <c r="C14" s="9">
        <v>10.830388627102424</v>
      </c>
      <c r="D14" s="5">
        <f t="shared" si="0"/>
        <v>1</v>
      </c>
      <c r="E14" s="8"/>
      <c r="F14" s="8"/>
      <c r="G14" s="8"/>
      <c r="Q14" s="4">
        <v>26299</v>
      </c>
      <c r="R14" s="12">
        <v>18.55354582905678</v>
      </c>
      <c r="S14" s="12">
        <v>8.1140496743638781</v>
      </c>
      <c r="T14" s="16">
        <v>0.48553005691350565</v>
      </c>
      <c r="U14" s="12">
        <v>9.5641144902362694</v>
      </c>
      <c r="X14" s="38"/>
      <c r="Y14" s="39"/>
      <c r="Z14" s="40"/>
    </row>
    <row r="15" spans="1:28" x14ac:dyDescent="0.25">
      <c r="A15" s="4">
        <v>26330</v>
      </c>
      <c r="B15" s="9">
        <v>15.161702649149026</v>
      </c>
      <c r="C15" s="9">
        <v>26.590449836721188</v>
      </c>
      <c r="D15" s="5">
        <f t="shared" si="0"/>
        <v>2</v>
      </c>
      <c r="J15" s="2" t="s">
        <v>3</v>
      </c>
      <c r="K15" s="13" t="s">
        <v>13</v>
      </c>
      <c r="L15" s="13" t="s">
        <v>14</v>
      </c>
      <c r="Q15" s="4">
        <v>26330</v>
      </c>
      <c r="R15" s="12">
        <v>38.104329966673468</v>
      </c>
      <c r="S15" s="12">
        <v>38.920745009114093</v>
      </c>
      <c r="T15" s="16">
        <v>0.73020082457026825</v>
      </c>
      <c r="U15" s="12">
        <v>38.176992417672096</v>
      </c>
    </row>
    <row r="16" spans="1:28" ht="15.75" customHeight="1" x14ac:dyDescent="0.25">
      <c r="A16" s="4">
        <v>26359</v>
      </c>
      <c r="B16" s="9">
        <v>6.2734083212416838</v>
      </c>
      <c r="C16" s="9">
        <v>15.410809443688498</v>
      </c>
      <c r="D16" s="5">
        <f t="shared" si="0"/>
        <v>3</v>
      </c>
      <c r="E16" s="41" t="s">
        <v>6</v>
      </c>
      <c r="F16" s="42"/>
      <c r="G16" s="43"/>
      <c r="J16" s="13">
        <v>1</v>
      </c>
      <c r="K16" s="12">
        <v>1.8346863477873341</v>
      </c>
      <c r="L16" s="12">
        <v>0.10256291739705345</v>
      </c>
      <c r="Q16" s="4">
        <v>26359</v>
      </c>
      <c r="R16" s="12">
        <v>17.431217185202424</v>
      </c>
      <c r="S16" s="12">
        <v>12.87139680586241</v>
      </c>
      <c r="T16" s="16">
        <v>0.43951869806798399</v>
      </c>
      <c r="U16" s="12">
        <v>12.6654589125557</v>
      </c>
    </row>
    <row r="17" spans="1:21" x14ac:dyDescent="0.25">
      <c r="A17" s="4">
        <v>26390</v>
      </c>
      <c r="B17" s="9">
        <v>64.266219126276752</v>
      </c>
      <c r="C17" s="9">
        <v>17.845047811504703</v>
      </c>
      <c r="D17" s="5">
        <f t="shared" si="0"/>
        <v>4</v>
      </c>
      <c r="E17" s="44"/>
      <c r="F17" s="45"/>
      <c r="G17" s="46"/>
      <c r="J17" s="13">
        <v>2</v>
      </c>
      <c r="K17" s="12">
        <v>0.87015687226892813</v>
      </c>
      <c r="L17" s="12">
        <v>2.2410229256353555</v>
      </c>
      <c r="Q17" s="4">
        <v>26390</v>
      </c>
      <c r="R17" s="12">
        <v>14.34170691442114</v>
      </c>
      <c r="S17" s="12">
        <v>9.1183650445005178</v>
      </c>
      <c r="T17" s="16">
        <v>0.41308431214453828</v>
      </c>
      <c r="U17" s="12">
        <v>10.443603569635476</v>
      </c>
    </row>
    <row r="18" spans="1:21" x14ac:dyDescent="0.25">
      <c r="A18" s="4">
        <v>26420</v>
      </c>
      <c r="B18" s="9">
        <v>0.60277263431392092</v>
      </c>
      <c r="C18" s="9">
        <v>107.1522678238898</v>
      </c>
      <c r="D18" s="5">
        <f t="shared" si="0"/>
        <v>5</v>
      </c>
      <c r="J18" s="13">
        <v>3</v>
      </c>
      <c r="K18" s="12">
        <v>1.4478863468842376</v>
      </c>
      <c r="L18" s="12">
        <v>0.24535190089216724</v>
      </c>
      <c r="Q18" s="4">
        <v>26420</v>
      </c>
      <c r="R18" s="12">
        <v>47.451890129138086</v>
      </c>
      <c r="S18" s="12">
        <v>78.965460042364683</v>
      </c>
      <c r="T18" s="16">
        <v>0.9882122686041791</v>
      </c>
      <c r="U18" s="12">
        <v>71.550944288010328</v>
      </c>
    </row>
    <row r="19" spans="1:21" x14ac:dyDescent="0.25">
      <c r="A19" s="4">
        <v>26451</v>
      </c>
      <c r="B19" s="9">
        <v>3.0686818093178165</v>
      </c>
      <c r="C19" s="9">
        <v>0.57264832895302964</v>
      </c>
      <c r="D19" s="5">
        <f t="shared" si="0"/>
        <v>6</v>
      </c>
      <c r="J19" s="13">
        <v>4</v>
      </c>
      <c r="K19" s="12">
        <v>1.6131483448338613</v>
      </c>
      <c r="L19" s="12">
        <v>8.7303819209487585E-2</v>
      </c>
      <c r="Q19" s="4">
        <v>26451</v>
      </c>
      <c r="R19" s="12">
        <v>0.20624664305013091</v>
      </c>
      <c r="S19" s="12">
        <v>6.2562273604546033E-3</v>
      </c>
      <c r="T19" s="16">
        <v>6.1140348942113369E-3</v>
      </c>
      <c r="U19" s="12">
        <v>3.3932016217551688E-4</v>
      </c>
    </row>
    <row r="20" spans="1:21" x14ac:dyDescent="0.25">
      <c r="A20" s="4">
        <v>26481</v>
      </c>
      <c r="B20" s="9">
        <v>18.025530211675978</v>
      </c>
      <c r="C20" s="9">
        <v>19.791604536994907</v>
      </c>
      <c r="D20" s="5">
        <f t="shared" si="0"/>
        <v>7</v>
      </c>
      <c r="J20" s="13">
        <v>5</v>
      </c>
      <c r="K20" s="12">
        <v>1.6231092752696066</v>
      </c>
      <c r="L20" s="12">
        <v>4.004267867343636E-2</v>
      </c>
      <c r="Q20" s="4">
        <v>26481</v>
      </c>
      <c r="R20" s="12">
        <v>4.0225781795907407</v>
      </c>
      <c r="S20" s="12">
        <v>1.1767453739549061</v>
      </c>
      <c r="T20" s="16">
        <v>0.18232777269529193</v>
      </c>
      <c r="U20" s="12">
        <v>1.2573358479348071</v>
      </c>
    </row>
    <row r="21" spans="1:21" x14ac:dyDescent="0.25">
      <c r="A21" s="4">
        <v>26512</v>
      </c>
      <c r="B21" s="9">
        <v>30.857550277608542</v>
      </c>
      <c r="C21" s="9">
        <v>10.381040448817689</v>
      </c>
      <c r="D21" s="5">
        <f t="shared" si="0"/>
        <v>8</v>
      </c>
      <c r="J21" s="13">
        <v>6</v>
      </c>
      <c r="K21" s="12">
        <v>1.7762564663411875</v>
      </c>
      <c r="L21" s="12">
        <v>1.6840909142651156E-2</v>
      </c>
      <c r="Q21" s="4">
        <v>26512</v>
      </c>
      <c r="R21" s="12">
        <v>3.5682283745117096</v>
      </c>
      <c r="S21" s="12">
        <v>1.5941573864580088</v>
      </c>
      <c r="T21" s="16">
        <v>0.2701782321079646</v>
      </c>
      <c r="U21" s="12">
        <v>1.9057766368522768</v>
      </c>
    </row>
    <row r="22" spans="1:21" x14ac:dyDescent="0.25">
      <c r="A22" s="4">
        <v>26543</v>
      </c>
      <c r="B22" s="9">
        <v>2.7675071415564019</v>
      </c>
      <c r="C22" s="9">
        <v>25.567960238792637</v>
      </c>
      <c r="D22" s="5">
        <f t="shared" si="0"/>
        <v>9</v>
      </c>
      <c r="J22" s="13">
        <v>7</v>
      </c>
      <c r="K22" s="12">
        <v>2.0397817950721322</v>
      </c>
      <c r="L22" s="12">
        <v>2.6677439819579396E-3</v>
      </c>
      <c r="Q22" s="4">
        <v>26543</v>
      </c>
      <c r="R22" s="12">
        <v>10.313903068585104</v>
      </c>
      <c r="S22" s="12">
        <v>5.961626413390209</v>
      </c>
      <c r="T22" s="16">
        <v>0.53276323826318839</v>
      </c>
      <c r="U22" s="12">
        <v>4.7229301893087552</v>
      </c>
    </row>
    <row r="23" spans="1:21" x14ac:dyDescent="0.25">
      <c r="A23" s="4">
        <v>26573</v>
      </c>
      <c r="B23" s="9">
        <v>46.292152669493099</v>
      </c>
      <c r="C23" s="9">
        <v>30.162074555995744</v>
      </c>
      <c r="D23" s="5">
        <f t="shared" si="0"/>
        <v>10</v>
      </c>
      <c r="J23" s="13">
        <v>8</v>
      </c>
      <c r="K23" s="12">
        <v>1.5669415096553387</v>
      </c>
      <c r="L23" s="12">
        <v>4.0751272261940717E-2</v>
      </c>
      <c r="Q23" s="4">
        <v>26573</v>
      </c>
      <c r="R23" s="12">
        <v>37.449334376552471</v>
      </c>
      <c r="S23" s="12">
        <v>37.291099875875219</v>
      </c>
      <c r="T23" s="16">
        <v>0.73551081485101222</v>
      </c>
      <c r="U23" s="12">
        <v>37.470949675662048</v>
      </c>
    </row>
    <row r="24" spans="1:21" x14ac:dyDescent="0.25">
      <c r="A24" s="4">
        <v>26604</v>
      </c>
      <c r="B24" s="9">
        <v>0.50110457019857058</v>
      </c>
      <c r="C24" s="9">
        <v>24.442870537108291</v>
      </c>
      <c r="D24" s="5">
        <f t="shared" si="0"/>
        <v>11</v>
      </c>
      <c r="J24" s="13">
        <v>9</v>
      </c>
      <c r="K24" s="12">
        <v>1.6033407432091802</v>
      </c>
      <c r="L24" s="12">
        <v>3.2987414277703443E-2</v>
      </c>
      <c r="Q24" s="4">
        <v>26604</v>
      </c>
      <c r="R24" s="12">
        <v>25.159767771743532</v>
      </c>
      <c r="S24" s="12">
        <v>24.410381697702249</v>
      </c>
      <c r="T24" s="16">
        <v>0.55099928291622269</v>
      </c>
      <c r="U24" s="12">
        <v>24.400645007285913</v>
      </c>
    </row>
    <row r="25" spans="1:21" x14ac:dyDescent="0.25">
      <c r="A25" s="4">
        <v>26634</v>
      </c>
      <c r="B25" s="9">
        <v>8.2883228807235927</v>
      </c>
      <c r="C25" s="9">
        <v>13.681139783697287</v>
      </c>
      <c r="D25" s="5">
        <f t="shared" si="0"/>
        <v>12</v>
      </c>
      <c r="J25" s="13">
        <v>10</v>
      </c>
      <c r="K25" s="12">
        <v>1.0545569933677574</v>
      </c>
      <c r="L25" s="12">
        <v>1.0266656418709408</v>
      </c>
      <c r="Q25" s="4">
        <v>26634</v>
      </c>
      <c r="R25" s="12">
        <v>24.9317125542889</v>
      </c>
      <c r="S25" s="12">
        <v>26.714945969596439</v>
      </c>
      <c r="T25" s="16">
        <v>0.63895417783447161</v>
      </c>
      <c r="U25" s="12">
        <v>27.264566295340153</v>
      </c>
    </row>
    <row r="26" spans="1:21" x14ac:dyDescent="0.25">
      <c r="A26" s="4">
        <v>26665</v>
      </c>
      <c r="B26" s="9">
        <v>18.07987794606106</v>
      </c>
      <c r="C26" s="9">
        <v>1.435405762693561</v>
      </c>
      <c r="D26" s="5">
        <f t="shared" si="0"/>
        <v>1</v>
      </c>
      <c r="J26" s="13">
        <v>11</v>
      </c>
      <c r="K26" s="12">
        <v>1.0366734139754836</v>
      </c>
      <c r="L26" s="12">
        <v>0.88820677661701819</v>
      </c>
      <c r="Q26" s="4">
        <v>26665</v>
      </c>
      <c r="R26" s="12">
        <v>2.4589945493537022</v>
      </c>
      <c r="S26" s="12">
        <v>0.1990626027494152</v>
      </c>
      <c r="T26" s="16">
        <v>7.5004862096096012E-2</v>
      </c>
      <c r="U26" s="12">
        <v>0.10001384606508427</v>
      </c>
    </row>
    <row r="27" spans="1:21" x14ac:dyDescent="0.25">
      <c r="A27" s="4">
        <v>26696</v>
      </c>
      <c r="B27" s="9">
        <v>19.743484215533851</v>
      </c>
      <c r="C27" s="9">
        <v>1.6002887846315597</v>
      </c>
      <c r="D27" s="5">
        <f t="shared" si="0"/>
        <v>2</v>
      </c>
      <c r="J27" s="13">
        <v>12</v>
      </c>
      <c r="K27" s="12">
        <v>0.83675144299941639</v>
      </c>
      <c r="L27" s="12">
        <v>2.9929698556707178</v>
      </c>
      <c r="Q27" s="4">
        <v>26696</v>
      </c>
      <c r="R27" s="12">
        <v>2.2932267887908311</v>
      </c>
      <c r="S27" s="12">
        <v>3.3738899064873036</v>
      </c>
      <c r="T27" s="16">
        <v>7.664022494176978E-2</v>
      </c>
      <c r="U27" s="12">
        <v>3.3852745823446848</v>
      </c>
    </row>
    <row r="28" spans="1:21" x14ac:dyDescent="0.25">
      <c r="A28" s="4">
        <v>26724</v>
      </c>
      <c r="B28" s="9">
        <v>14.437207365397706</v>
      </c>
      <c r="C28" s="9">
        <v>24.006615547131194</v>
      </c>
      <c r="D28" s="5">
        <f t="shared" si="0"/>
        <v>3</v>
      </c>
      <c r="Q28" s="4">
        <v>26724</v>
      </c>
      <c r="R28" s="12">
        <v>27.153961705436782</v>
      </c>
      <c r="S28" s="12">
        <v>24.454103484334013</v>
      </c>
      <c r="T28" s="16">
        <v>0.65774609075330726</v>
      </c>
      <c r="U28" s="12">
        <v>25.247170815244399</v>
      </c>
    </row>
    <row r="29" spans="1:21" x14ac:dyDescent="0.25">
      <c r="A29" s="4">
        <v>26755</v>
      </c>
      <c r="B29" s="9">
        <v>12.091595392485354</v>
      </c>
      <c r="C29" s="9">
        <v>49.48693873178776</v>
      </c>
      <c r="D29" s="5">
        <f t="shared" si="0"/>
        <v>4</v>
      </c>
      <c r="J29" t="s">
        <v>3</v>
      </c>
      <c r="K29" t="s">
        <v>16</v>
      </c>
      <c r="L29" t="s">
        <v>17</v>
      </c>
      <c r="M29" t="s">
        <v>18</v>
      </c>
      <c r="N29" t="s">
        <v>19</v>
      </c>
      <c r="Q29" s="4">
        <v>26755</v>
      </c>
      <c r="R29" s="12">
        <v>39.771659839748637</v>
      </c>
      <c r="S29" s="12">
        <v>47.260458651753325</v>
      </c>
      <c r="T29" s="16">
        <v>0.8906374435237534</v>
      </c>
      <c r="U29" s="12">
        <v>46.838017482733619</v>
      </c>
    </row>
    <row r="30" spans="1:21" x14ac:dyDescent="0.25">
      <c r="A30" s="4">
        <v>26785</v>
      </c>
      <c r="B30" s="9">
        <v>1.0430498029202124</v>
      </c>
      <c r="C30" s="9">
        <v>14.576208267146537</v>
      </c>
      <c r="D30" s="5">
        <f t="shared" si="0"/>
        <v>5</v>
      </c>
      <c r="J30" s="13">
        <v>1</v>
      </c>
      <c r="K30" s="12">
        <v>64.655130528787751</v>
      </c>
      <c r="L30" s="12">
        <v>0.41880972905809105</v>
      </c>
      <c r="M30" s="12">
        <v>14.664530281209309</v>
      </c>
      <c r="N30" s="12">
        <v>1.0778757900105269</v>
      </c>
      <c r="Q30" s="4">
        <v>26785</v>
      </c>
      <c r="R30" s="12">
        <v>6.4550069470192106</v>
      </c>
      <c r="S30" s="12">
        <v>3.0991700653741128</v>
      </c>
      <c r="T30" s="16">
        <v>0.19563382759933742</v>
      </c>
      <c r="U30" s="12">
        <v>2.8241571364618077</v>
      </c>
    </row>
    <row r="31" spans="1:21" x14ac:dyDescent="0.25">
      <c r="A31" s="4">
        <v>26816</v>
      </c>
      <c r="B31" s="9">
        <v>2.0544425987490076</v>
      </c>
      <c r="C31" s="9">
        <v>34.825004875672072</v>
      </c>
      <c r="D31" s="5">
        <f t="shared" si="0"/>
        <v>6</v>
      </c>
      <c r="J31" s="13">
        <v>2</v>
      </c>
      <c r="K31" s="12">
        <v>23.820710634709126</v>
      </c>
      <c r="L31" s="12">
        <v>1.2211819346340975</v>
      </c>
      <c r="M31" s="12">
        <v>20.409929066769628</v>
      </c>
      <c r="N31" s="12">
        <v>0.99459196017292462</v>
      </c>
      <c r="Q31" s="4">
        <v>26816</v>
      </c>
      <c r="R31" s="12">
        <v>12.542672329007948</v>
      </c>
      <c r="S31" s="12">
        <v>9.2291078724736497</v>
      </c>
      <c r="T31" s="16">
        <v>0.66470802770766435</v>
      </c>
      <c r="U31" s="12">
        <v>10.100635526264281</v>
      </c>
    </row>
    <row r="32" spans="1:21" x14ac:dyDescent="0.25">
      <c r="A32" s="4">
        <v>26846</v>
      </c>
      <c r="B32" s="9">
        <v>32.992233354410928</v>
      </c>
      <c r="C32" s="9">
        <v>14.310778456508832</v>
      </c>
      <c r="D32" s="5">
        <f t="shared" si="0"/>
        <v>7</v>
      </c>
      <c r="J32" s="13">
        <v>3</v>
      </c>
      <c r="K32" s="12">
        <v>28.980480495317849</v>
      </c>
      <c r="L32" s="12">
        <v>0.83577520272960792</v>
      </c>
      <c r="M32" s="12">
        <v>12.236911547917575</v>
      </c>
      <c r="N32" s="12">
        <v>1.7499312180820012</v>
      </c>
      <c r="Q32" s="4">
        <v>26846</v>
      </c>
      <c r="R32" s="12">
        <v>2.908618401530084</v>
      </c>
      <c r="S32" s="12">
        <v>0.60735837551242788</v>
      </c>
      <c r="T32" s="16">
        <v>0.10158757364960284</v>
      </c>
      <c r="U32" s="12">
        <v>0.56805030598254613</v>
      </c>
    </row>
    <row r="33" spans="1:21" x14ac:dyDescent="0.25">
      <c r="A33" s="4">
        <v>26877</v>
      </c>
      <c r="B33" s="9">
        <v>8.0914284853817637</v>
      </c>
      <c r="C33" s="9">
        <v>42.39680417375088</v>
      </c>
      <c r="D33" s="5">
        <f t="shared" si="0"/>
        <v>8</v>
      </c>
      <c r="J33" s="13">
        <v>4</v>
      </c>
      <c r="K33" s="12">
        <v>22.736740477498213</v>
      </c>
      <c r="L33" s="12">
        <v>0.91131525283800818</v>
      </c>
      <c r="M33" s="12">
        <v>13.8647205306324</v>
      </c>
      <c r="N33" s="12">
        <v>1.8595274627893177</v>
      </c>
      <c r="Q33" s="4">
        <v>26877</v>
      </c>
      <c r="R33" s="12">
        <v>14.572862940595131</v>
      </c>
      <c r="S33" s="12">
        <v>14.456960340580066</v>
      </c>
      <c r="T33" s="16">
        <v>0.80839829788972672</v>
      </c>
      <c r="U33" s="12">
        <v>15.382006592046517</v>
      </c>
    </row>
    <row r="34" spans="1:21" x14ac:dyDescent="0.25">
      <c r="A34" s="4">
        <v>26908</v>
      </c>
      <c r="B34" s="9">
        <v>51.635810979774803</v>
      </c>
      <c r="C34" s="9">
        <v>103.99868113093537</v>
      </c>
      <c r="D34" s="5">
        <f t="shared" si="0"/>
        <v>9</v>
      </c>
      <c r="J34" s="13">
        <v>5</v>
      </c>
      <c r="K34" s="12">
        <v>17.112957208101108</v>
      </c>
      <c r="L34" s="12">
        <v>0.88728401585712702</v>
      </c>
      <c r="M34" s="12">
        <v>15.928876222458626</v>
      </c>
      <c r="N34" s="12">
        <v>2.1525360602950263</v>
      </c>
      <c r="Q34" s="4">
        <v>26908</v>
      </c>
      <c r="R34" s="12">
        <v>41.952205276732293</v>
      </c>
      <c r="S34" s="12">
        <v>56.536793998365823</v>
      </c>
      <c r="T34" s="16">
        <v>0.94658846866272794</v>
      </c>
      <c r="U34" s="12">
        <v>60.07640831961632</v>
      </c>
    </row>
    <row r="35" spans="1:21" x14ac:dyDescent="0.25">
      <c r="A35" s="4">
        <v>26938</v>
      </c>
      <c r="B35" s="9">
        <v>31.696284696340221</v>
      </c>
      <c r="C35" s="9">
        <v>6.3329066390909068</v>
      </c>
      <c r="D35" s="5">
        <f t="shared" si="0"/>
        <v>10</v>
      </c>
      <c r="J35" s="13">
        <v>6</v>
      </c>
      <c r="K35" s="12">
        <v>23.915345490552326</v>
      </c>
      <c r="L35" s="12">
        <v>0.46749018829801581</v>
      </c>
      <c r="M35" s="12">
        <v>23.447673224235782</v>
      </c>
      <c r="N35" s="12">
        <v>1.3238857751156148</v>
      </c>
      <c r="Q35" s="4">
        <v>26938</v>
      </c>
      <c r="R35" s="12">
        <v>7.8629584268983974</v>
      </c>
      <c r="S35" s="12">
        <v>7.190600624418428</v>
      </c>
      <c r="T35" s="16">
        <v>0.20048371403808063</v>
      </c>
      <c r="U35" s="12">
        <v>7.0551578381029909</v>
      </c>
    </row>
    <row r="36" spans="1:21" x14ac:dyDescent="0.25">
      <c r="A36" s="4">
        <v>26969</v>
      </c>
      <c r="B36" s="9">
        <v>18.649691421074355</v>
      </c>
      <c r="C36" s="9">
        <v>155.35628163730277</v>
      </c>
      <c r="D36" s="5">
        <f t="shared" si="0"/>
        <v>11</v>
      </c>
      <c r="J36" s="13">
        <v>7</v>
      </c>
      <c r="K36" s="12">
        <v>12.125468341136758</v>
      </c>
      <c r="L36" s="12">
        <v>0.76670200442834979</v>
      </c>
      <c r="M36" s="12">
        <v>19.175937735843995</v>
      </c>
      <c r="N36" s="12">
        <v>2.3853110548931817</v>
      </c>
      <c r="Q36" s="4">
        <v>26969</v>
      </c>
      <c r="R36" s="12">
        <v>159.91280410138535</v>
      </c>
      <c r="S36" s="12">
        <v>166.03758551319626</v>
      </c>
      <c r="T36" s="16">
        <v>0.98376177049907387</v>
      </c>
      <c r="U36" s="12">
        <v>165.46551542876645</v>
      </c>
    </row>
    <row r="37" spans="1:21" x14ac:dyDescent="0.25">
      <c r="A37" s="4">
        <v>26999</v>
      </c>
      <c r="B37" s="9">
        <v>19.553805168232458</v>
      </c>
      <c r="C37" s="9">
        <v>4.1294710444043279</v>
      </c>
      <c r="D37" s="5">
        <f t="shared" si="0"/>
        <v>12</v>
      </c>
      <c r="J37" s="13">
        <v>8</v>
      </c>
      <c r="K37" s="12">
        <v>12.909858084964126</v>
      </c>
      <c r="L37" s="12">
        <v>0.70252892119192023</v>
      </c>
      <c r="M37" s="12">
        <v>20.200453991067459</v>
      </c>
      <c r="N37" s="12">
        <v>1.3062093454961243</v>
      </c>
      <c r="Q37" s="4">
        <v>26999</v>
      </c>
      <c r="R37" s="12">
        <v>7.5253075919179491</v>
      </c>
      <c r="S37" s="12">
        <v>9.8051195180951947</v>
      </c>
      <c r="T37" s="16">
        <v>0.32221341328663095</v>
      </c>
      <c r="U37" s="12">
        <v>11.351879006793713</v>
      </c>
    </row>
    <row r="38" spans="1:21" x14ac:dyDescent="0.25">
      <c r="A38" s="4">
        <v>27030</v>
      </c>
      <c r="B38" s="9">
        <v>1.3774577531801064</v>
      </c>
      <c r="C38" s="9">
        <v>6.4848222398245312</v>
      </c>
      <c r="D38" s="5">
        <f t="shared" si="0"/>
        <v>1</v>
      </c>
      <c r="J38" s="13">
        <v>9</v>
      </c>
      <c r="K38" s="12">
        <v>43.072316101688159</v>
      </c>
      <c r="L38" s="12">
        <v>0.32355075377351272</v>
      </c>
      <c r="M38" s="12">
        <v>37.366014437418215</v>
      </c>
      <c r="N38" s="12">
        <v>0.92456383318597901</v>
      </c>
      <c r="Q38" s="4">
        <v>27030</v>
      </c>
      <c r="R38" s="12">
        <v>11.109153213466977</v>
      </c>
      <c r="S38" s="12">
        <v>3.1664211763422498</v>
      </c>
      <c r="T38" s="16">
        <v>0.32116082321502398</v>
      </c>
      <c r="U38" s="12">
        <v>3.33758321046178</v>
      </c>
    </row>
    <row r="39" spans="1:21" x14ac:dyDescent="0.25">
      <c r="A39" s="4">
        <v>27061</v>
      </c>
      <c r="B39" s="9">
        <v>59.047351137293418</v>
      </c>
      <c r="C39" s="9">
        <v>25.804098392501242</v>
      </c>
      <c r="D39" s="5">
        <f t="shared" si="0"/>
        <v>2</v>
      </c>
      <c r="J39" s="13">
        <v>10</v>
      </c>
      <c r="K39" s="12">
        <v>25.522544618869635</v>
      </c>
      <c r="L39" s="12">
        <v>1.1029874296529285</v>
      </c>
      <c r="M39" s="12">
        <v>18.53306500873812</v>
      </c>
      <c r="N39" s="12">
        <v>1.2233884942839115</v>
      </c>
      <c r="Q39" s="4">
        <v>27061</v>
      </c>
      <c r="R39" s="12">
        <v>36.977481978605667</v>
      </c>
      <c r="S39" s="12">
        <v>37.917257141563091</v>
      </c>
      <c r="T39" s="16">
        <v>0.71957386881096297</v>
      </c>
      <c r="U39" s="12">
        <v>37.161942026134064</v>
      </c>
    </row>
    <row r="40" spans="1:21" x14ac:dyDescent="0.25">
      <c r="A40" s="4">
        <v>27089</v>
      </c>
      <c r="B40" s="9">
        <v>12.617324259402508</v>
      </c>
      <c r="C40" s="9">
        <v>27.379894576344284</v>
      </c>
      <c r="D40" s="5">
        <f t="shared" si="0"/>
        <v>3</v>
      </c>
      <c r="J40" s="13">
        <v>11</v>
      </c>
      <c r="K40" s="12">
        <v>47.539597807940929</v>
      </c>
      <c r="L40" s="12">
        <v>0.72376924589893443</v>
      </c>
      <c r="M40" s="12">
        <v>43.050664014283463</v>
      </c>
      <c r="N40" s="12">
        <v>0.77646405102588401</v>
      </c>
      <c r="Q40" s="4">
        <v>27089</v>
      </c>
      <c r="R40" s="12">
        <v>30.969488696368714</v>
      </c>
      <c r="S40" s="12">
        <v>29.581981677847075</v>
      </c>
      <c r="T40" s="16">
        <v>0.72188136802917247</v>
      </c>
      <c r="U40" s="12">
        <v>30.699206235550125</v>
      </c>
    </row>
    <row r="41" spans="1:21" x14ac:dyDescent="0.25">
      <c r="A41" s="4">
        <v>27120</v>
      </c>
      <c r="B41" s="9">
        <v>40.111596302290693</v>
      </c>
      <c r="C41" s="9">
        <v>22.578225333906293</v>
      </c>
      <c r="D41" s="5">
        <f t="shared" si="0"/>
        <v>4</v>
      </c>
      <c r="J41" s="13">
        <v>12</v>
      </c>
      <c r="K41" s="12">
        <v>22.627382886760238</v>
      </c>
      <c r="L41" s="12">
        <v>1.1579402890069816</v>
      </c>
      <c r="M41" s="12">
        <v>19.84000803778914</v>
      </c>
      <c r="N41" s="12">
        <v>0.72468423893116074</v>
      </c>
      <c r="Q41" s="4">
        <v>27120</v>
      </c>
      <c r="R41" s="12">
        <v>18.145666731017776</v>
      </c>
      <c r="S41" s="12">
        <v>13.327101583067243</v>
      </c>
      <c r="T41" s="16">
        <v>0.52876873614881437</v>
      </c>
      <c r="U41" s="12">
        <v>15.071436040884752</v>
      </c>
    </row>
    <row r="42" spans="1:21" x14ac:dyDescent="0.25">
      <c r="A42" s="4">
        <v>27150</v>
      </c>
      <c r="B42" s="9">
        <v>13.586982674796754</v>
      </c>
      <c r="C42" s="9">
        <v>47.613288034286654</v>
      </c>
      <c r="D42" s="5">
        <f t="shared" si="0"/>
        <v>5</v>
      </c>
      <c r="Q42" s="4">
        <v>27150</v>
      </c>
      <c r="R42" s="12">
        <v>21.085326128638886</v>
      </c>
      <c r="S42" s="12">
        <v>21.166998649133575</v>
      </c>
      <c r="T42" s="16">
        <v>0.76806165053925946</v>
      </c>
      <c r="U42" s="12">
        <v>22.253252320628778</v>
      </c>
    </row>
    <row r="43" spans="1:21" x14ac:dyDescent="0.25">
      <c r="A43" s="4">
        <v>27181</v>
      </c>
      <c r="B43" s="9">
        <v>5.3303567434997374</v>
      </c>
      <c r="C43" s="9">
        <v>34.671401451949365</v>
      </c>
      <c r="D43" s="5">
        <f t="shared" si="0"/>
        <v>6</v>
      </c>
      <c r="Q43" s="4">
        <v>27181</v>
      </c>
      <c r="R43" s="12">
        <v>12.487350085141916</v>
      </c>
      <c r="S43" s="12">
        <v>9.1569255682189254</v>
      </c>
      <c r="T43" s="16">
        <v>0.66281731336273753</v>
      </c>
      <c r="U43" s="12">
        <v>10.018378125704734</v>
      </c>
    </row>
    <row r="44" spans="1:21" x14ac:dyDescent="0.25">
      <c r="A44" s="4">
        <v>27211</v>
      </c>
      <c r="B44" s="9">
        <v>1.0825521013436199</v>
      </c>
      <c r="C44" s="9">
        <v>18.042049032786817</v>
      </c>
      <c r="D44" s="5">
        <f t="shared" si="0"/>
        <v>7</v>
      </c>
      <c r="Q44" s="4">
        <v>27211</v>
      </c>
      <c r="R44" s="12">
        <v>3.666986808408315</v>
      </c>
      <c r="S44" s="12">
        <v>0.97430105539087963</v>
      </c>
      <c r="T44" s="16">
        <v>0.15520523569919986</v>
      </c>
      <c r="U44" s="12">
        <v>1.0075180072761512</v>
      </c>
    </row>
    <row r="45" spans="1:21" x14ac:dyDescent="0.25">
      <c r="A45" s="4">
        <v>27242</v>
      </c>
      <c r="B45" s="9">
        <v>3.5737995028821263</v>
      </c>
      <c r="C45" s="9">
        <v>68.451011564826786</v>
      </c>
      <c r="D45" s="5">
        <f t="shared" si="0"/>
        <v>8</v>
      </c>
      <c r="Q45" s="4">
        <v>27242</v>
      </c>
      <c r="R45" s="12">
        <v>23.52835854304584</v>
      </c>
      <c r="S45" s="12">
        <v>30.624857537579917</v>
      </c>
      <c r="T45" s="16">
        <v>0.94105653172816273</v>
      </c>
      <c r="U45" s="12">
        <v>28.894850967640046</v>
      </c>
    </row>
    <row r="46" spans="1:21" x14ac:dyDescent="0.25">
      <c r="A46" s="4">
        <v>27273</v>
      </c>
      <c r="B46" s="9">
        <v>17.881121264990917</v>
      </c>
      <c r="C46" s="9">
        <v>21.045197798942375</v>
      </c>
      <c r="D46" s="5">
        <f t="shared" si="0"/>
        <v>9</v>
      </c>
      <c r="Q46" s="4">
        <v>27273</v>
      </c>
      <c r="R46" s="12">
        <v>8.4894582176392692</v>
      </c>
      <c r="S46" s="12">
        <v>4.3632832632852239</v>
      </c>
      <c r="T46" s="16">
        <v>0.46866168868497204</v>
      </c>
      <c r="U46" s="12">
        <v>3.0907554698077773</v>
      </c>
    </row>
    <row r="47" spans="1:21" x14ac:dyDescent="0.25">
      <c r="A47" s="4">
        <v>27303</v>
      </c>
      <c r="B47" s="9">
        <v>21.712107964758594</v>
      </c>
      <c r="C47" s="9">
        <v>56.22607061125327</v>
      </c>
      <c r="D47" s="5">
        <f t="shared" si="0"/>
        <v>10</v>
      </c>
      <c r="Q47" s="4">
        <v>27303</v>
      </c>
      <c r="R47" s="12">
        <v>69.810480545407572</v>
      </c>
      <c r="S47" s="12">
        <v>71.918083109132951</v>
      </c>
      <c r="T47" s="16">
        <v>0.92827551679261711</v>
      </c>
      <c r="U47" s="12">
        <v>72.01249652670846</v>
      </c>
    </row>
    <row r="48" spans="1:21" x14ac:dyDescent="0.25">
      <c r="A48" s="4">
        <v>27334</v>
      </c>
      <c r="B48" s="9">
        <v>40.815677844064965</v>
      </c>
      <c r="C48" s="9">
        <v>17.700979280123349</v>
      </c>
      <c r="D48" s="5">
        <f t="shared" si="0"/>
        <v>11</v>
      </c>
      <c r="Q48" s="4">
        <v>27334</v>
      </c>
      <c r="R48" s="12">
        <v>18.22014019770015</v>
      </c>
      <c r="S48" s="12">
        <v>17.469468718967565</v>
      </c>
      <c r="T48" s="16">
        <v>0.45620863518725485</v>
      </c>
      <c r="U48" s="12">
        <v>17.393452651214904</v>
      </c>
    </row>
    <row r="49" spans="1:21" x14ac:dyDescent="0.25">
      <c r="A49" s="4">
        <v>27364</v>
      </c>
      <c r="B49" s="9">
        <v>44.978407689976351</v>
      </c>
      <c r="C49" s="9">
        <v>14.176114170478504</v>
      </c>
      <c r="D49" s="5">
        <f t="shared" si="0"/>
        <v>12</v>
      </c>
      <c r="Q49" s="4">
        <v>27364</v>
      </c>
      <c r="R49" s="12">
        <v>25.8337250567611</v>
      </c>
      <c r="S49" s="12">
        <v>27.521334790490695</v>
      </c>
      <c r="T49" s="16">
        <v>0.64976575356227539</v>
      </c>
      <c r="U49" s="12">
        <v>28.012670581528013</v>
      </c>
    </row>
    <row r="50" spans="1:21" x14ac:dyDescent="0.25">
      <c r="A50" s="4">
        <v>27395</v>
      </c>
      <c r="B50" s="9">
        <v>17.094878005506615</v>
      </c>
      <c r="C50" s="9">
        <v>0.21678980718955909</v>
      </c>
      <c r="D50" s="5">
        <f t="shared" si="0"/>
        <v>1</v>
      </c>
      <c r="Q50" s="4">
        <v>27395</v>
      </c>
      <c r="R50" s="12">
        <v>0.37138276025465006</v>
      </c>
      <c r="S50" s="12">
        <v>6.2062594224223831E-3</v>
      </c>
      <c r="T50" s="16">
        <v>1.0204194050208493E-2</v>
      </c>
      <c r="U50" s="12">
        <v>8.5326539279749209E-4</v>
      </c>
    </row>
    <row r="51" spans="1:21" x14ac:dyDescent="0.25">
      <c r="A51" s="4">
        <v>27426</v>
      </c>
      <c r="B51" s="9">
        <v>66.462473496473777</v>
      </c>
      <c r="C51" s="9">
        <v>1.0485112005392503</v>
      </c>
      <c r="D51" s="5">
        <f t="shared" si="0"/>
        <v>2</v>
      </c>
      <c r="Q51" s="4">
        <v>27426</v>
      </c>
      <c r="R51" s="12">
        <v>1.5025250420519785</v>
      </c>
      <c r="S51" s="12">
        <v>2.3353291548277633</v>
      </c>
      <c r="T51" s="16">
        <v>5.100532824182559E-2</v>
      </c>
      <c r="U51" s="12">
        <v>2.3805385297923394</v>
      </c>
    </row>
    <row r="52" spans="1:21" x14ac:dyDescent="0.25">
      <c r="A52" s="4">
        <v>27454</v>
      </c>
      <c r="B52" s="9">
        <v>4.4105005791224938</v>
      </c>
      <c r="C52" s="9">
        <v>42.178855057024244</v>
      </c>
      <c r="D52" s="5">
        <f t="shared" si="0"/>
        <v>3</v>
      </c>
      <c r="Q52" s="4">
        <v>27454</v>
      </c>
      <c r="R52" s="12">
        <v>47.708641509630532</v>
      </c>
      <c r="S52" s="12">
        <v>55.302145572743626</v>
      </c>
      <c r="T52" s="16">
        <v>0.89434384014597479</v>
      </c>
      <c r="U52" s="12">
        <v>56.771794864442008</v>
      </c>
    </row>
    <row r="53" spans="1:21" x14ac:dyDescent="0.25">
      <c r="A53" s="4">
        <v>27485</v>
      </c>
      <c r="B53" s="9">
        <v>32.613753409558498</v>
      </c>
      <c r="C53" s="9">
        <v>7.4033648306015376</v>
      </c>
      <c r="D53" s="5">
        <f t="shared" si="0"/>
        <v>4</v>
      </c>
      <c r="Q53" s="4">
        <v>27485</v>
      </c>
      <c r="R53" s="12">
        <v>5.9499357862503528</v>
      </c>
      <c r="S53" s="12">
        <v>2.2057253758400499</v>
      </c>
      <c r="T53" s="16">
        <v>0.12582745416285226</v>
      </c>
      <c r="U53" s="12">
        <v>2.3756369919372897</v>
      </c>
    </row>
    <row r="54" spans="1:21" x14ac:dyDescent="0.25">
      <c r="A54" s="4">
        <v>27515</v>
      </c>
      <c r="B54" s="9">
        <v>2.9321591351710494</v>
      </c>
      <c r="C54" s="9">
        <v>35.694096930171234</v>
      </c>
      <c r="D54" s="5">
        <f t="shared" si="0"/>
        <v>5</v>
      </c>
      <c r="Q54" s="4">
        <v>27515</v>
      </c>
      <c r="R54" s="12">
        <v>15.806967040334214</v>
      </c>
      <c r="S54" s="12">
        <v>13.260403443595441</v>
      </c>
      <c r="T54" s="16">
        <v>0.61325518133318735</v>
      </c>
      <c r="U54" s="12">
        <v>14.046840384769103</v>
      </c>
    </row>
    <row r="55" spans="1:21" x14ac:dyDescent="0.25">
      <c r="A55" s="4">
        <v>27546</v>
      </c>
      <c r="B55" s="9">
        <v>30.540465772719564</v>
      </c>
      <c r="C55" s="9">
        <v>10.443917055431843</v>
      </c>
      <c r="D55" s="5">
        <f t="shared" si="0"/>
        <v>6</v>
      </c>
      <c r="Q55" s="4">
        <v>27546</v>
      </c>
      <c r="R55" s="12">
        <v>3.7615107284343527</v>
      </c>
      <c r="S55" s="12">
        <v>1.0867465254445323</v>
      </c>
      <c r="T55" s="16">
        <v>0.22633468369623536</v>
      </c>
      <c r="U55" s="12">
        <v>0.78572553993144711</v>
      </c>
    </row>
    <row r="56" spans="1:21" x14ac:dyDescent="0.25">
      <c r="A56" s="4">
        <v>27576</v>
      </c>
      <c r="B56" s="9">
        <v>1.3621151435735168</v>
      </c>
      <c r="C56" s="9">
        <v>65.801699538465073</v>
      </c>
      <c r="D56" s="5">
        <f t="shared" si="0"/>
        <v>7</v>
      </c>
      <c r="Q56" s="4">
        <v>27576</v>
      </c>
      <c r="R56" s="12">
        <v>13.373977852510475</v>
      </c>
      <c r="S56" s="12">
        <v>13.644295188157407</v>
      </c>
      <c r="T56" s="16">
        <v>0.79066985135624601</v>
      </c>
      <c r="U56" s="12">
        <v>14.733507175010795</v>
      </c>
    </row>
    <row r="57" spans="1:21" x14ac:dyDescent="0.25">
      <c r="A57" s="4">
        <v>27607</v>
      </c>
      <c r="B57" s="9">
        <v>7.0709377957194635</v>
      </c>
      <c r="C57" s="9">
        <v>73.045017653051687</v>
      </c>
      <c r="D57" s="5">
        <f t="shared" si="0"/>
        <v>8</v>
      </c>
      <c r="Q57" s="4">
        <v>27607</v>
      </c>
      <c r="R57" s="12">
        <v>25.107435607382932</v>
      </c>
      <c r="S57" s="12">
        <v>33.906162385200311</v>
      </c>
      <c r="T57" s="16">
        <v>0.95229403531785739</v>
      </c>
      <c r="U57" s="12">
        <v>31.38428903670928</v>
      </c>
    </row>
    <row r="58" spans="1:21" x14ac:dyDescent="0.25">
      <c r="A58" s="4">
        <v>27638</v>
      </c>
      <c r="B58" s="9">
        <v>1.5436230531064421</v>
      </c>
      <c r="C58" s="9">
        <v>24.836369032613906</v>
      </c>
      <c r="D58" s="5">
        <f t="shared" si="0"/>
        <v>9</v>
      </c>
      <c r="Q58" s="4">
        <v>27638</v>
      </c>
      <c r="R58" s="12">
        <v>10.018785244719425</v>
      </c>
      <c r="S58" s="12">
        <v>5.6904927256434181</v>
      </c>
      <c r="T58" s="16">
        <v>0.52297364697333326</v>
      </c>
      <c r="U58" s="12">
        <v>4.4383704809779987</v>
      </c>
    </row>
    <row r="59" spans="1:21" x14ac:dyDescent="0.25">
      <c r="A59" s="4">
        <v>27668</v>
      </c>
      <c r="B59" s="9">
        <v>0.65039248423906637</v>
      </c>
      <c r="C59" s="9">
        <v>48.82409903216309</v>
      </c>
      <c r="D59" s="5">
        <f t="shared" si="0"/>
        <v>10</v>
      </c>
      <c r="Q59" s="4">
        <v>27668</v>
      </c>
      <c r="R59" s="12">
        <v>60.620167452172964</v>
      </c>
      <c r="S59" s="12">
        <v>61.97122385902545</v>
      </c>
      <c r="T59" s="16">
        <v>0.89562809535074228</v>
      </c>
      <c r="U59" s="12">
        <v>62.14298973390077</v>
      </c>
    </row>
    <row r="60" spans="1:21" x14ac:dyDescent="0.25">
      <c r="A60" s="4">
        <v>27699</v>
      </c>
      <c r="B60" s="9">
        <v>30.228102991615188</v>
      </c>
      <c r="C60" s="9">
        <v>83.79564890799071</v>
      </c>
      <c r="D60" s="5">
        <f t="shared" si="0"/>
        <v>11</v>
      </c>
      <c r="Q60" s="4">
        <v>27699</v>
      </c>
      <c r="R60" s="12">
        <v>86.253333609360126</v>
      </c>
      <c r="S60" s="12">
        <v>87.552116218551603</v>
      </c>
      <c r="T60" s="16">
        <v>0.90474269837139643</v>
      </c>
      <c r="U60" s="12">
        <v>87.774275150930649</v>
      </c>
    </row>
    <row r="61" spans="1:21" x14ac:dyDescent="0.25">
      <c r="A61" s="4">
        <v>27729</v>
      </c>
      <c r="B61" s="9">
        <v>23.064813967734956</v>
      </c>
      <c r="C61" s="9">
        <v>5.5798880694160751</v>
      </c>
      <c r="D61" s="5">
        <f t="shared" si="0"/>
        <v>12</v>
      </c>
      <c r="Q61" s="4">
        <v>27729</v>
      </c>
      <c r="R61" s="12">
        <v>10.16846312743337</v>
      </c>
      <c r="S61" s="12">
        <v>12.613694160041469</v>
      </c>
      <c r="T61" s="16">
        <v>0.3892497752685149</v>
      </c>
      <c r="U61" s="12">
        <v>14.062762734236731</v>
      </c>
    </row>
    <row r="62" spans="1:21" x14ac:dyDescent="0.25">
      <c r="A62" s="4">
        <v>27760</v>
      </c>
      <c r="B62" s="9">
        <v>8.1769427407142157</v>
      </c>
      <c r="C62" s="9">
        <v>14.484714777534199</v>
      </c>
      <c r="D62" s="5">
        <f t="shared" si="0"/>
        <v>1</v>
      </c>
      <c r="Q62" s="4">
        <v>27760</v>
      </c>
      <c r="R62" s="12">
        <v>24.813774343543255</v>
      </c>
      <c r="S62" s="12">
        <v>13.83235091532814</v>
      </c>
      <c r="T62" s="16">
        <v>0.59390993169411554</v>
      </c>
      <c r="U62" s="12">
        <v>16.639942312668854</v>
      </c>
    </row>
    <row r="63" spans="1:21" x14ac:dyDescent="0.25">
      <c r="A63" s="4">
        <v>27791</v>
      </c>
      <c r="B63" s="9">
        <v>84.37177479812155</v>
      </c>
      <c r="C63" s="9">
        <v>41.414112259759072</v>
      </c>
      <c r="D63" s="5">
        <f t="shared" si="0"/>
        <v>2</v>
      </c>
      <c r="Q63" s="4">
        <v>27791</v>
      </c>
      <c r="R63" s="12">
        <v>59.346758272717643</v>
      </c>
      <c r="S63" s="12">
        <v>57.229381873056205</v>
      </c>
      <c r="T63" s="16">
        <v>0.86971354220209296</v>
      </c>
      <c r="U63" s="12">
        <v>57.011095912124908</v>
      </c>
    </row>
    <row r="64" spans="1:21" x14ac:dyDescent="0.25">
      <c r="A64" s="4">
        <v>27820</v>
      </c>
      <c r="B64" s="9">
        <v>13.639780405389626</v>
      </c>
      <c r="C64" s="9">
        <v>16.776317634169803</v>
      </c>
      <c r="D64" s="5">
        <f t="shared" si="0"/>
        <v>3</v>
      </c>
      <c r="Q64" s="4">
        <v>27820</v>
      </c>
      <c r="R64" s="12">
        <v>18.975747985056078</v>
      </c>
      <c r="S64" s="12">
        <v>14.554958502375669</v>
      </c>
      <c r="T64" s="16">
        <v>0.47953958066783564</v>
      </c>
      <c r="U64" s="12">
        <v>14.508159939912597</v>
      </c>
    </row>
    <row r="65" spans="1:21" x14ac:dyDescent="0.25">
      <c r="A65" s="4">
        <v>27851</v>
      </c>
      <c r="B65" s="9">
        <v>37.304652661453737</v>
      </c>
      <c r="C65" s="9">
        <v>20.831167342164182</v>
      </c>
      <c r="D65" s="5">
        <f t="shared" si="0"/>
        <v>4</v>
      </c>
      <c r="Q65" s="4">
        <v>27851</v>
      </c>
      <c r="R65" s="12">
        <v>16.741591272956573</v>
      </c>
      <c r="S65" s="12">
        <v>11.703450334460236</v>
      </c>
      <c r="T65" s="16">
        <v>0.48796244035468117</v>
      </c>
      <c r="U65" s="12">
        <v>13.311965868221668</v>
      </c>
    </row>
    <row r="66" spans="1:21" x14ac:dyDescent="0.25">
      <c r="A66" s="4">
        <v>27881</v>
      </c>
      <c r="B66" s="9">
        <v>22.08720904202519</v>
      </c>
      <c r="C66" s="9">
        <v>40.167383135507009</v>
      </c>
      <c r="D66" s="5">
        <f t="shared" si="0"/>
        <v>5</v>
      </c>
      <c r="Q66" s="4">
        <v>27881</v>
      </c>
      <c r="R66" s="12">
        <v>17.787941310338951</v>
      </c>
      <c r="S66" s="12">
        <v>16.061464395012738</v>
      </c>
      <c r="T66" s="16">
        <v>0.6789422331606918</v>
      </c>
      <c r="U66" s="12">
        <v>17.015117004112081</v>
      </c>
    </row>
    <row r="67" spans="1:21" x14ac:dyDescent="0.25">
      <c r="A67" s="4">
        <v>27912</v>
      </c>
      <c r="B67" s="9">
        <v>3.445533157820317</v>
      </c>
      <c r="C67" s="9">
        <v>26.33447236032778</v>
      </c>
      <c r="D67" s="5">
        <f t="shared" ref="D67:D130" si="4">MONTH(A67)</f>
        <v>6</v>
      </c>
      <c r="Q67" s="4">
        <v>27912</v>
      </c>
      <c r="R67" s="12">
        <v>9.48469810563188</v>
      </c>
      <c r="S67" s="12">
        <v>5.6179979561443973</v>
      </c>
      <c r="T67" s="16">
        <v>0.54468267557424677</v>
      </c>
      <c r="U67" s="12">
        <v>5.9183471341690659</v>
      </c>
    </row>
    <row r="68" spans="1:21" x14ac:dyDescent="0.25">
      <c r="A68" s="4">
        <v>27942</v>
      </c>
      <c r="B68" s="9">
        <v>30.997745136664836</v>
      </c>
      <c r="C68" s="9">
        <v>35.096522496316588</v>
      </c>
      <c r="D68" s="5">
        <f t="shared" si="4"/>
        <v>7</v>
      </c>
      <c r="Q68" s="4">
        <v>27942</v>
      </c>
      <c r="R68" s="12">
        <v>7.133252147864245</v>
      </c>
      <c r="S68" s="12">
        <v>3.7856957023200994</v>
      </c>
      <c r="T68" s="16">
        <v>0.43250295553761575</v>
      </c>
      <c r="U68" s="12">
        <v>4.4756966848627115</v>
      </c>
    </row>
    <row r="69" spans="1:21" x14ac:dyDescent="0.25">
      <c r="A69" s="4">
        <v>27973</v>
      </c>
      <c r="B69" s="9">
        <v>38.412989371984004</v>
      </c>
      <c r="C69" s="9">
        <v>19.036101377320826</v>
      </c>
      <c r="D69" s="5">
        <f t="shared" si="4"/>
        <v>8</v>
      </c>
      <c r="Q69" s="4">
        <v>27973</v>
      </c>
      <c r="R69" s="12">
        <v>6.543193566149113</v>
      </c>
      <c r="S69" s="12">
        <v>4.1225418127103302</v>
      </c>
      <c r="T69" s="16">
        <v>0.47912451038573933</v>
      </c>
      <c r="U69" s="12">
        <v>4.8978123016022055</v>
      </c>
    </row>
    <row r="70" spans="1:21" x14ac:dyDescent="0.25">
      <c r="A70" s="4">
        <v>28004</v>
      </c>
      <c r="B70" s="9">
        <v>6.3552421045161882</v>
      </c>
      <c r="C70" s="9">
        <v>35.323533208122882</v>
      </c>
      <c r="D70" s="5">
        <f t="shared" si="4"/>
        <v>9</v>
      </c>
      <c r="Q70" s="4">
        <v>28004</v>
      </c>
      <c r="R70" s="12">
        <v>14.249220279831379</v>
      </c>
      <c r="S70" s="12">
        <v>10.009734968797007</v>
      </c>
      <c r="T70" s="16">
        <v>0.64502100482321434</v>
      </c>
      <c r="U70" s="12">
        <v>9.1859205336899752</v>
      </c>
    </row>
    <row r="71" spans="1:21" x14ac:dyDescent="0.25">
      <c r="A71" s="4">
        <v>28034</v>
      </c>
      <c r="B71" s="9">
        <v>53.491335359063733</v>
      </c>
      <c r="C71" s="9">
        <v>7.1220837691045142</v>
      </c>
      <c r="D71" s="5">
        <f t="shared" si="4"/>
        <v>10</v>
      </c>
      <c r="Q71" s="4">
        <v>28034</v>
      </c>
      <c r="R71" s="12">
        <v>8.8428034362110175</v>
      </c>
      <c r="S71" s="12">
        <v>8.1386389855759695</v>
      </c>
      <c r="T71" s="16">
        <v>0.22637061137617664</v>
      </c>
      <c r="U71" s="12">
        <v>8.011429689101135</v>
      </c>
    </row>
    <row r="72" spans="1:21" x14ac:dyDescent="0.25">
      <c r="A72" s="4">
        <v>28065</v>
      </c>
      <c r="B72" s="9">
        <v>42.638502508865336</v>
      </c>
      <c r="C72" s="9">
        <v>82.809021264295055</v>
      </c>
      <c r="D72" s="5">
        <f t="shared" si="4"/>
        <v>11</v>
      </c>
      <c r="Q72" s="4">
        <v>28065</v>
      </c>
      <c r="R72" s="12">
        <v>85.237768667636956</v>
      </c>
      <c r="S72" s="12">
        <v>86.483685689766205</v>
      </c>
      <c r="T72" s="16">
        <v>0.90234625616787867</v>
      </c>
      <c r="U72" s="12">
        <v>86.708972434820836</v>
      </c>
    </row>
    <row r="73" spans="1:21" x14ac:dyDescent="0.25">
      <c r="A73" s="4">
        <v>28095</v>
      </c>
      <c r="B73" s="9">
        <v>10.057175867714705</v>
      </c>
      <c r="C73" s="9">
        <v>17.820672015089993</v>
      </c>
      <c r="D73" s="5">
        <f t="shared" si="4"/>
        <v>12</v>
      </c>
      <c r="Q73" s="4">
        <v>28095</v>
      </c>
      <c r="R73" s="12">
        <v>32.475355067559541</v>
      </c>
      <c r="S73" s="12">
        <v>33.328431042614305</v>
      </c>
      <c r="T73" s="16">
        <v>0.7190143189482826</v>
      </c>
      <c r="U73" s="12">
        <v>33.400984362076557</v>
      </c>
    </row>
    <row r="74" spans="1:21" x14ac:dyDescent="0.25">
      <c r="A74" s="4">
        <v>28126</v>
      </c>
      <c r="B74" s="9">
        <v>0.59158944043048967</v>
      </c>
      <c r="C74" s="9">
        <v>16.401947653493497</v>
      </c>
      <c r="D74" s="5">
        <f t="shared" si="4"/>
        <v>1</v>
      </c>
      <c r="Q74" s="4">
        <v>28126</v>
      </c>
      <c r="R74" s="12">
        <v>28.09818723525331</v>
      </c>
      <c r="S74" s="12">
        <v>17.375704001748492</v>
      </c>
      <c r="T74" s="16">
        <v>0.64160519067826516</v>
      </c>
      <c r="U74" s="12">
        <v>20.877554202266978</v>
      </c>
    </row>
    <row r="75" spans="1:21" x14ac:dyDescent="0.25">
      <c r="A75" s="4">
        <v>28157</v>
      </c>
      <c r="B75" s="9">
        <v>20.054852019118496</v>
      </c>
      <c r="C75" s="9">
        <v>2.0675292177371293E-2</v>
      </c>
      <c r="D75" s="5">
        <f t="shared" si="4"/>
        <v>2</v>
      </c>
      <c r="Q75" s="4">
        <v>28157</v>
      </c>
      <c r="R75" s="12">
        <v>2.9627861135164711E-2</v>
      </c>
      <c r="S75" s="12">
        <v>7.6669914833084898E-2</v>
      </c>
      <c r="T75" s="16">
        <v>1.0533518676250132E-3</v>
      </c>
      <c r="U75" s="12">
        <v>9.5105852756935672E-2</v>
      </c>
    </row>
    <row r="76" spans="1:21" x14ac:dyDescent="0.25">
      <c r="A76" s="4">
        <v>28185</v>
      </c>
      <c r="B76" s="9">
        <v>16.526783518170451</v>
      </c>
      <c r="C76" s="9">
        <v>10.284598168811039</v>
      </c>
      <c r="D76" s="5">
        <f t="shared" si="4"/>
        <v>3</v>
      </c>
      <c r="Q76" s="4">
        <v>28185</v>
      </c>
      <c r="R76" s="12">
        <v>11.632942772937973</v>
      </c>
      <c r="S76" s="12">
        <v>7.1667398452229225</v>
      </c>
      <c r="T76" s="16">
        <v>0.27479935532705246</v>
      </c>
      <c r="U76" s="12">
        <v>6.4746935511130603</v>
      </c>
    </row>
    <row r="77" spans="1:21" x14ac:dyDescent="0.25">
      <c r="A77" s="4">
        <v>28216</v>
      </c>
      <c r="B77" s="9">
        <v>3.8337079566586931</v>
      </c>
      <c r="C77" s="9">
        <v>10.158501096359762</v>
      </c>
      <c r="D77" s="5">
        <f t="shared" si="4"/>
        <v>4</v>
      </c>
      <c r="Q77" s="4">
        <v>28216</v>
      </c>
      <c r="R77" s="12">
        <v>8.1641835288270297</v>
      </c>
      <c r="S77" s="12">
        <v>3.6745046129579704</v>
      </c>
      <c r="T77" s="16">
        <v>0.20067438243768557</v>
      </c>
      <c r="U77" s="12">
        <v>4.1232679541591022</v>
      </c>
    </row>
    <row r="78" spans="1:21" x14ac:dyDescent="0.25">
      <c r="A78" s="4">
        <v>28246</v>
      </c>
      <c r="B78" s="9">
        <v>6.2521515521740492</v>
      </c>
      <c r="C78" s="9">
        <v>45.151841056375908</v>
      </c>
      <c r="D78" s="5">
        <f t="shared" si="4"/>
        <v>5</v>
      </c>
      <c r="Q78" s="4">
        <v>28246</v>
      </c>
      <c r="R78" s="12">
        <v>19.995285629015612</v>
      </c>
      <c r="S78" s="12">
        <v>19.419686476442298</v>
      </c>
      <c r="T78" s="16">
        <v>0.74125099265218619</v>
      </c>
      <c r="U78" s="12">
        <v>20.484655982310471</v>
      </c>
    </row>
    <row r="79" spans="1:21" x14ac:dyDescent="0.25">
      <c r="A79" s="4">
        <v>28277</v>
      </c>
      <c r="B79" s="9">
        <v>20.378759916245265</v>
      </c>
      <c r="C79" s="9">
        <v>35.637426587574595</v>
      </c>
      <c r="D79" s="5">
        <f t="shared" si="4"/>
        <v>6</v>
      </c>
      <c r="Q79" s="4">
        <v>28277</v>
      </c>
      <c r="R79" s="12">
        <v>12.835276432345303</v>
      </c>
      <c r="S79" s="12">
        <v>9.6149979667316892</v>
      </c>
      <c r="T79" s="16">
        <v>0.67454840908660607</v>
      </c>
      <c r="U79" s="12">
        <v>10.539324836643873</v>
      </c>
    </row>
    <row r="80" spans="1:21" x14ac:dyDescent="0.25">
      <c r="A80" s="4">
        <v>28307</v>
      </c>
      <c r="B80" s="9">
        <v>3.1554437431199789</v>
      </c>
      <c r="C80" s="9">
        <v>73.100242886347303</v>
      </c>
      <c r="D80" s="5">
        <f t="shared" si="4"/>
        <v>7</v>
      </c>
      <c r="Q80" s="4">
        <v>28307</v>
      </c>
      <c r="R80" s="12">
        <v>14.857382654739107</v>
      </c>
      <c r="S80" s="12">
        <v>16.909541243670763</v>
      </c>
      <c r="T80" s="16">
        <v>0.83993311745360955</v>
      </c>
      <c r="U80" s="12">
        <v>17.646705866455751</v>
      </c>
    </row>
    <row r="81" spans="1:21" x14ac:dyDescent="0.25">
      <c r="A81" s="4">
        <v>28338</v>
      </c>
      <c r="B81" s="9">
        <v>3.288214679301217</v>
      </c>
      <c r="C81" s="9">
        <v>19.771552401386462</v>
      </c>
      <c r="D81" s="5">
        <f t="shared" si="4"/>
        <v>8</v>
      </c>
      <c r="Q81" s="4">
        <v>28338</v>
      </c>
      <c r="R81" s="12">
        <v>6.795986841069217</v>
      </c>
      <c r="S81" s="12">
        <v>4.3748307187688855</v>
      </c>
      <c r="T81" s="16">
        <v>0.49447435819280189</v>
      </c>
      <c r="U81" s="12">
        <v>5.1842517951977722</v>
      </c>
    </row>
    <row r="82" spans="1:21" x14ac:dyDescent="0.25">
      <c r="A82" s="4">
        <v>28369</v>
      </c>
      <c r="B82" s="9">
        <v>10.844530339320789</v>
      </c>
      <c r="C82" s="9">
        <v>35.452303920090429</v>
      </c>
      <c r="D82" s="5">
        <f t="shared" si="4"/>
        <v>9</v>
      </c>
      <c r="Q82" s="4">
        <v>28369</v>
      </c>
      <c r="R82" s="12">
        <v>14.301165316858263</v>
      </c>
      <c r="S82" s="12">
        <v>10.068305408091611</v>
      </c>
      <c r="T82" s="16">
        <v>0.64629978836212176</v>
      </c>
      <c r="U82" s="12">
        <v>9.2523781694961311</v>
      </c>
    </row>
    <row r="83" spans="1:21" x14ac:dyDescent="0.25">
      <c r="A83" s="4">
        <v>28399</v>
      </c>
      <c r="B83" s="9">
        <v>1.0237569704430307</v>
      </c>
      <c r="C83" s="9">
        <v>20.824924253601321</v>
      </c>
      <c r="D83" s="5">
        <f t="shared" si="4"/>
        <v>10</v>
      </c>
      <c r="Q83" s="4">
        <v>28399</v>
      </c>
      <c r="R83" s="12">
        <v>25.856296797213027</v>
      </c>
      <c r="S83" s="12">
        <v>25.231926225381777</v>
      </c>
      <c r="T83" s="16">
        <v>0.5847379128616137</v>
      </c>
      <c r="U83" s="12">
        <v>25.31438053408716</v>
      </c>
    </row>
    <row r="84" spans="1:21" x14ac:dyDescent="0.25">
      <c r="A84" s="4">
        <v>28430</v>
      </c>
      <c r="B84" s="9">
        <v>32.434148062692245</v>
      </c>
      <c r="C84" s="9">
        <v>124.61366925686465</v>
      </c>
      <c r="D84" s="5">
        <f t="shared" si="4"/>
        <v>11</v>
      </c>
      <c r="Q84" s="4">
        <v>28430</v>
      </c>
      <c r="R84" s="12">
        <v>128.26852619162489</v>
      </c>
      <c r="S84" s="12">
        <v>132.10866813298526</v>
      </c>
      <c r="T84" s="16">
        <v>0.96549632754227011</v>
      </c>
      <c r="U84" s="12">
        <v>132.00727205820075</v>
      </c>
    </row>
    <row r="85" spans="1:21" x14ac:dyDescent="0.25">
      <c r="A85" s="4">
        <v>28460</v>
      </c>
      <c r="B85" s="9">
        <v>61.109937096471938</v>
      </c>
      <c r="C85" s="9">
        <v>16.151420100445275</v>
      </c>
      <c r="D85" s="5">
        <f t="shared" si="4"/>
        <v>12</v>
      </c>
      <c r="Q85" s="4">
        <v>28460</v>
      </c>
      <c r="R85" s="12">
        <v>29.433407570888939</v>
      </c>
      <c r="S85" s="12">
        <v>30.6954779900205</v>
      </c>
      <c r="T85" s="16">
        <v>0.68940572746300655</v>
      </c>
      <c r="U85" s="12">
        <v>30.957177186387948</v>
      </c>
    </row>
    <row r="86" spans="1:21" x14ac:dyDescent="0.25">
      <c r="A86" s="4">
        <v>28491</v>
      </c>
      <c r="B86" s="9">
        <v>36.866753895557601</v>
      </c>
      <c r="C86" s="9">
        <v>19.260291855968564</v>
      </c>
      <c r="D86" s="5">
        <f t="shared" si="4"/>
        <v>1</v>
      </c>
      <c r="Q86" s="4">
        <v>28491</v>
      </c>
      <c r="R86" s="12">
        <v>32.994818554939229</v>
      </c>
      <c r="S86" s="12">
        <v>23.331560317900554</v>
      </c>
      <c r="T86" s="16">
        <v>0.70275349165729906</v>
      </c>
      <c r="U86" s="12">
        <v>27.745788912751671</v>
      </c>
    </row>
    <row r="87" spans="1:21" x14ac:dyDescent="0.25">
      <c r="A87" s="4">
        <v>28522</v>
      </c>
      <c r="B87" s="9">
        <v>6.2684204040810192</v>
      </c>
      <c r="C87" s="9">
        <v>0.91522187829680712</v>
      </c>
      <c r="D87" s="5">
        <f t="shared" si="4"/>
        <v>2</v>
      </c>
      <c r="Q87" s="4">
        <v>28522</v>
      </c>
      <c r="R87" s="12">
        <v>1.3115203637954111</v>
      </c>
      <c r="S87" s="12">
        <v>2.0747617182069287</v>
      </c>
      <c r="T87" s="16">
        <v>4.4698305796109623E-2</v>
      </c>
      <c r="U87" s="12">
        <v>2.1265533579703098</v>
      </c>
    </row>
    <row r="88" spans="1:21" x14ac:dyDescent="0.25">
      <c r="A88" s="4">
        <v>28550</v>
      </c>
      <c r="B88" s="9">
        <v>2.8739602258660568E-2</v>
      </c>
      <c r="C88" s="9">
        <v>27.253033462853125</v>
      </c>
      <c r="D88" s="5">
        <f t="shared" si="4"/>
        <v>3</v>
      </c>
      <c r="Q88" s="4">
        <v>28550</v>
      </c>
      <c r="R88" s="12">
        <v>30.825995674168855</v>
      </c>
      <c r="S88" s="12">
        <v>29.38373439850416</v>
      </c>
      <c r="T88" s="16">
        <v>0.71967140857768908</v>
      </c>
      <c r="U88" s="12">
        <v>30.490032081562607</v>
      </c>
    </row>
    <row r="89" spans="1:21" x14ac:dyDescent="0.25">
      <c r="A89" s="4">
        <v>28581</v>
      </c>
      <c r="B89" s="9">
        <v>0.22072154042061609</v>
      </c>
      <c r="C89" s="9">
        <v>32.110092631450144</v>
      </c>
      <c r="D89" s="5">
        <f t="shared" si="4"/>
        <v>4</v>
      </c>
      <c r="Q89" s="4">
        <v>28581</v>
      </c>
      <c r="R89" s="12">
        <v>25.806237247415989</v>
      </c>
      <c r="S89" s="12">
        <v>23.521747254100383</v>
      </c>
      <c r="T89" s="16">
        <v>0.70989898167353305</v>
      </c>
      <c r="U89" s="12">
        <v>25.490947990921118</v>
      </c>
    </row>
    <row r="90" spans="1:21" x14ac:dyDescent="0.25">
      <c r="A90" s="4">
        <v>28611</v>
      </c>
      <c r="B90" s="9">
        <v>0.78099788360516398</v>
      </c>
      <c r="C90" s="9">
        <v>14.766068841694548</v>
      </c>
      <c r="D90" s="5">
        <f t="shared" si="4"/>
        <v>5</v>
      </c>
      <c r="Q90" s="4">
        <v>28611</v>
      </c>
      <c r="R90" s="12">
        <v>6.5390858312675064</v>
      </c>
      <c r="S90" s="12">
        <v>3.1649569598051417</v>
      </c>
      <c r="T90" s="16">
        <v>0.19965087178945701</v>
      </c>
      <c r="U90" s="12">
        <v>2.8958207348301959</v>
      </c>
    </row>
    <row r="91" spans="1:21" x14ac:dyDescent="0.25">
      <c r="A91" s="4">
        <v>28642</v>
      </c>
      <c r="B91" s="9">
        <v>11.714097098963624</v>
      </c>
      <c r="C91" s="9">
        <v>44.691103088719565</v>
      </c>
      <c r="D91" s="5">
        <f t="shared" si="4"/>
        <v>6</v>
      </c>
      <c r="Q91" s="4">
        <v>28642</v>
      </c>
      <c r="R91" s="12">
        <v>16.096074187639488</v>
      </c>
      <c r="S91" s="12">
        <v>14.374123995629352</v>
      </c>
      <c r="T91" s="16">
        <v>0.76756911680663009</v>
      </c>
      <c r="U91" s="12">
        <v>15.798386363941955</v>
      </c>
    </row>
    <row r="92" spans="1:21" x14ac:dyDescent="0.25">
      <c r="A92" s="4">
        <v>28672</v>
      </c>
      <c r="B92" s="9">
        <v>1.5949677138207221</v>
      </c>
      <c r="C92" s="9">
        <v>90.746873941145466</v>
      </c>
      <c r="D92" s="5">
        <f t="shared" si="4"/>
        <v>7</v>
      </c>
      <c r="Q92" s="4">
        <v>28672</v>
      </c>
      <c r="R92" s="12">
        <v>18.444002066602998</v>
      </c>
      <c r="S92" s="12">
        <v>26.284126819198484</v>
      </c>
      <c r="T92" s="16">
        <v>0.91898238611977079</v>
      </c>
      <c r="U92" s="12">
        <v>25.187131212866642</v>
      </c>
    </row>
    <row r="93" spans="1:21" x14ac:dyDescent="0.25">
      <c r="A93" s="4">
        <v>28703</v>
      </c>
      <c r="B93" s="9">
        <v>4.5755549575392497E-2</v>
      </c>
      <c r="C93" s="9">
        <v>1.7153259645180177</v>
      </c>
      <c r="D93" s="5">
        <f t="shared" si="4"/>
        <v>8</v>
      </c>
      <c r="Q93" s="4">
        <v>28703</v>
      </c>
      <c r="R93" s="12">
        <v>0.58960128402417966</v>
      </c>
      <c r="S93" s="12">
        <v>9.4918022919937547E-2</v>
      </c>
      <c r="T93" s="16">
        <v>3.2484316695916442E-2</v>
      </c>
      <c r="U93" s="12">
        <v>8.613825437651268E-2</v>
      </c>
    </row>
    <row r="94" spans="1:21" x14ac:dyDescent="0.25">
      <c r="A94" s="4">
        <v>28734</v>
      </c>
      <c r="B94" s="9">
        <v>129.72104434298754</v>
      </c>
      <c r="C94" s="9">
        <v>63.888515743699642</v>
      </c>
      <c r="D94" s="5">
        <f t="shared" si="4"/>
        <v>9</v>
      </c>
      <c r="Q94" s="4">
        <v>28734</v>
      </c>
      <c r="R94" s="12">
        <v>25.772097281992945</v>
      </c>
      <c r="S94" s="12">
        <v>25.885479044727624</v>
      </c>
      <c r="T94" s="16">
        <v>0.83944041653070933</v>
      </c>
      <c r="U94" s="12">
        <v>27.393657720041944</v>
      </c>
    </row>
    <row r="95" spans="1:21" x14ac:dyDescent="0.25">
      <c r="A95" s="4">
        <v>28764</v>
      </c>
      <c r="B95" s="9">
        <v>49.282212081389332</v>
      </c>
      <c r="C95" s="9">
        <v>3.2443675348629006</v>
      </c>
      <c r="D95" s="5">
        <f t="shared" si="4"/>
        <v>10</v>
      </c>
      <c r="Q95" s="4">
        <v>28764</v>
      </c>
      <c r="R95" s="12">
        <v>4.0282177682423326</v>
      </c>
      <c r="S95" s="12">
        <v>3.5517696658430111</v>
      </c>
      <c r="T95" s="16">
        <v>9.6626859120265821E-2</v>
      </c>
      <c r="U95" s="12">
        <v>3.4083424204539425</v>
      </c>
    </row>
    <row r="96" spans="1:21" x14ac:dyDescent="0.25">
      <c r="A96" s="4">
        <v>28795</v>
      </c>
      <c r="B96" s="9">
        <v>19.65116744939229</v>
      </c>
      <c r="C96" s="9">
        <v>19.759300601592305</v>
      </c>
      <c r="D96" s="5">
        <f t="shared" si="4"/>
        <v>11</v>
      </c>
      <c r="Q96" s="4">
        <v>28795</v>
      </c>
      <c r="R96" s="12">
        <v>20.338831059690612</v>
      </c>
      <c r="S96" s="12">
        <v>19.579699300130837</v>
      </c>
      <c r="T96" s="16">
        <v>0.48749382749593806</v>
      </c>
      <c r="U96" s="12">
        <v>19.523533673562021</v>
      </c>
    </row>
    <row r="97" spans="1:21" x14ac:dyDescent="0.25">
      <c r="A97" s="4">
        <v>28825</v>
      </c>
      <c r="B97" s="9">
        <v>4.3921823082451645</v>
      </c>
      <c r="C97" s="9">
        <v>8.9854832532117275</v>
      </c>
      <c r="D97" s="5">
        <f t="shared" si="4"/>
        <v>12</v>
      </c>
      <c r="Q97" s="4">
        <v>28825</v>
      </c>
      <c r="R97" s="12">
        <v>16.374621498817099</v>
      </c>
      <c r="S97" s="12">
        <v>18.792281869827068</v>
      </c>
      <c r="T97" s="16">
        <v>0.51434565407832133</v>
      </c>
      <c r="U97" s="12">
        <v>19.893708334425835</v>
      </c>
    </row>
    <row r="98" spans="1:21" x14ac:dyDescent="0.25">
      <c r="A98" s="4">
        <v>28856</v>
      </c>
      <c r="B98" s="9">
        <v>10.776929837750053</v>
      </c>
      <c r="C98" s="9">
        <v>18.141373823468779</v>
      </c>
      <c r="D98" s="5">
        <f t="shared" si="4"/>
        <v>1</v>
      </c>
      <c r="Q98" s="4">
        <v>28856</v>
      </c>
      <c r="R98" s="12">
        <v>31.077999342838901</v>
      </c>
      <c r="S98" s="12">
        <v>20.90524914551396</v>
      </c>
      <c r="T98" s="16">
        <v>0.68013601509480326</v>
      </c>
      <c r="U98" s="12">
        <v>24.984985458447319</v>
      </c>
    </row>
    <row r="99" spans="1:21" x14ac:dyDescent="0.25">
      <c r="A99" s="4">
        <v>28887</v>
      </c>
      <c r="B99" s="9">
        <v>22.465695489861304</v>
      </c>
      <c r="C99" s="9">
        <v>26.726331592699882</v>
      </c>
      <c r="D99" s="5">
        <f t="shared" si="4"/>
        <v>2</v>
      </c>
      <c r="Q99" s="4">
        <v>28887</v>
      </c>
      <c r="R99" s="12">
        <v>38.299049623469678</v>
      </c>
      <c r="S99" s="12">
        <v>39.093754662656892</v>
      </c>
      <c r="T99" s="16">
        <v>0.73199586435392427</v>
      </c>
      <c r="U99" s="12">
        <v>38.352185921934151</v>
      </c>
    </row>
    <row r="100" spans="1:21" x14ac:dyDescent="0.25">
      <c r="A100" s="4">
        <v>28915</v>
      </c>
      <c r="B100" s="9">
        <v>20.636945304220294</v>
      </c>
      <c r="C100" s="9">
        <v>35.768026266403893</v>
      </c>
      <c r="D100" s="5">
        <f t="shared" si="4"/>
        <v>3</v>
      </c>
      <c r="Q100" s="4">
        <v>28915</v>
      </c>
      <c r="R100" s="12">
        <v>40.457332005429336</v>
      </c>
      <c r="S100" s="12">
        <v>43.558567869978859</v>
      </c>
      <c r="T100" s="16">
        <v>0.83778093797080422</v>
      </c>
      <c r="U100" s="12">
        <v>45.120803085308097</v>
      </c>
    </row>
    <row r="101" spans="1:21" x14ac:dyDescent="0.25">
      <c r="A101" s="4">
        <v>28946</v>
      </c>
      <c r="B101" s="9">
        <v>9.3151925264009687</v>
      </c>
      <c r="C101" s="9">
        <v>29.82800779432765</v>
      </c>
      <c r="D101" s="5">
        <f t="shared" si="4"/>
        <v>4</v>
      </c>
      <c r="Q101" s="4">
        <v>28946</v>
      </c>
      <c r="R101" s="12">
        <v>23.972171447561145</v>
      </c>
      <c r="S101" s="12">
        <v>20.88434733997002</v>
      </c>
      <c r="T101" s="16">
        <v>0.67279761257615633</v>
      </c>
      <c r="U101" s="12">
        <v>22.88825679634931</v>
      </c>
    </row>
    <row r="102" spans="1:21" x14ac:dyDescent="0.25">
      <c r="A102" s="4">
        <v>28976</v>
      </c>
      <c r="B102" s="9">
        <v>36.389054841105235</v>
      </c>
      <c r="C102" s="9">
        <v>12.537341062961998</v>
      </c>
      <c r="D102" s="5">
        <f t="shared" si="4"/>
        <v>5</v>
      </c>
      <c r="Q102" s="4">
        <v>28976</v>
      </c>
      <c r="R102" s="12">
        <v>5.5521039611498111</v>
      </c>
      <c r="S102" s="12">
        <v>2.4267808470432621</v>
      </c>
      <c r="T102" s="16">
        <v>0.1534378188578589</v>
      </c>
      <c r="U102" s="12">
        <v>2.1014109825202447</v>
      </c>
    </row>
    <row r="103" spans="1:21" x14ac:dyDescent="0.25">
      <c r="A103" s="4">
        <v>29007</v>
      </c>
      <c r="B103" s="9">
        <v>2.3254195202086696</v>
      </c>
      <c r="C103" s="9">
        <v>1.0837982017828895</v>
      </c>
      <c r="D103" s="5">
        <f t="shared" si="4"/>
        <v>6</v>
      </c>
      <c r="Q103" s="4">
        <v>29007</v>
      </c>
      <c r="R103" s="12">
        <v>0.39034382807013124</v>
      </c>
      <c r="S103" s="12">
        <v>1.9428662346843217E-2</v>
      </c>
      <c r="T103" s="16">
        <v>1.405256139844651E-2</v>
      </c>
      <c r="U103" s="12">
        <v>2.012582617280643E-3</v>
      </c>
    </row>
    <row r="104" spans="1:21" x14ac:dyDescent="0.25">
      <c r="A104" s="4">
        <v>29037</v>
      </c>
      <c r="B104" s="9">
        <v>2.460103510651007</v>
      </c>
      <c r="C104" s="9">
        <v>20.827084255392908</v>
      </c>
      <c r="D104" s="5">
        <f t="shared" si="4"/>
        <v>7</v>
      </c>
      <c r="Q104" s="4">
        <v>29037</v>
      </c>
      <c r="R104" s="12">
        <v>4.2330360084570513</v>
      </c>
      <c r="S104" s="12">
        <v>1.305745399943721</v>
      </c>
      <c r="T104" s="16">
        <v>0.19880445699606494</v>
      </c>
      <c r="U104" s="12">
        <v>1.4178792728339356</v>
      </c>
    </row>
    <row r="105" spans="1:21" x14ac:dyDescent="0.25">
      <c r="A105" s="4">
        <v>29068</v>
      </c>
      <c r="B105" s="9">
        <v>36.727516416477656</v>
      </c>
      <c r="C105" s="9">
        <v>51.121928578618757</v>
      </c>
      <c r="D105" s="5">
        <f t="shared" si="4"/>
        <v>8</v>
      </c>
      <c r="Q105" s="4">
        <v>29068</v>
      </c>
      <c r="R105" s="12">
        <v>17.57191073605382</v>
      </c>
      <c r="S105" s="12">
        <v>19.383346673996598</v>
      </c>
      <c r="T105" s="16">
        <v>0.87027181516074181</v>
      </c>
      <c r="U105" s="12">
        <v>19.767528126265738</v>
      </c>
    </row>
    <row r="106" spans="1:21" x14ac:dyDescent="0.25">
      <c r="A106" s="4">
        <v>29099</v>
      </c>
      <c r="B106" s="9">
        <v>2.2205079880844467</v>
      </c>
      <c r="C106" s="9">
        <v>16.182848624318623</v>
      </c>
      <c r="D106" s="5">
        <f t="shared" si="4"/>
        <v>9</v>
      </c>
      <c r="Q106" s="4">
        <v>29099</v>
      </c>
      <c r="R106" s="12">
        <v>6.5280268948310036</v>
      </c>
      <c r="S106" s="12">
        <v>2.8633561618315588</v>
      </c>
      <c r="T106" s="16">
        <v>0.3891681113485051</v>
      </c>
      <c r="U106" s="12">
        <v>1.6988799952415254</v>
      </c>
    </row>
    <row r="107" spans="1:21" x14ac:dyDescent="0.25">
      <c r="A107" s="4">
        <v>29129</v>
      </c>
      <c r="B107" s="9">
        <v>35.534474268194536</v>
      </c>
      <c r="C107" s="9">
        <v>6.2008709280577099</v>
      </c>
      <c r="D107" s="5">
        <f t="shared" si="4"/>
        <v>10</v>
      </c>
      <c r="Q107" s="4">
        <v>29129</v>
      </c>
      <c r="R107" s="12">
        <v>7.6990224389096289</v>
      </c>
      <c r="S107" s="12">
        <v>7.0325941661034239</v>
      </c>
      <c r="T107" s="16">
        <v>0.19611293344610312</v>
      </c>
      <c r="U107" s="12">
        <v>6.8959400559597741</v>
      </c>
    </row>
    <row r="108" spans="1:21" x14ac:dyDescent="0.25">
      <c r="A108" s="4">
        <v>29160</v>
      </c>
      <c r="B108" s="9">
        <v>178.59724126969402</v>
      </c>
      <c r="C108" s="9">
        <v>4.7070696595971784</v>
      </c>
      <c r="D108" s="5">
        <f t="shared" si="4"/>
        <v>11</v>
      </c>
      <c r="Q108" s="4">
        <v>29160</v>
      </c>
      <c r="R108" s="12">
        <v>4.8451256713523296</v>
      </c>
      <c r="S108" s="12">
        <v>4.4252393948319488</v>
      </c>
      <c r="T108" s="16">
        <v>0.18484592782070874</v>
      </c>
      <c r="U108" s="12">
        <v>4.2870714526589717</v>
      </c>
    </row>
    <row r="109" spans="1:21" x14ac:dyDescent="0.25">
      <c r="A109" s="4">
        <v>29190</v>
      </c>
      <c r="B109" s="9">
        <v>3.2978703770031039</v>
      </c>
      <c r="C109" s="9">
        <v>6.2989570003090227</v>
      </c>
      <c r="D109" s="5">
        <f t="shared" si="4"/>
        <v>12</v>
      </c>
      <c r="Q109" s="4">
        <v>29190</v>
      </c>
      <c r="R109" s="12">
        <v>11.478852479138242</v>
      </c>
      <c r="S109" s="12">
        <v>13.96019657571069</v>
      </c>
      <c r="T109" s="16">
        <v>0.41896669624811272</v>
      </c>
      <c r="U109" s="12">
        <v>15.345417637036627</v>
      </c>
    </row>
    <row r="110" spans="1:21" x14ac:dyDescent="0.25">
      <c r="A110" s="4">
        <v>29221</v>
      </c>
      <c r="B110" s="9">
        <v>8.3663477740518655</v>
      </c>
      <c r="C110" s="9">
        <v>4.0836386837744296</v>
      </c>
      <c r="D110" s="5">
        <f t="shared" si="4"/>
        <v>1</v>
      </c>
      <c r="Q110" s="4">
        <v>29221</v>
      </c>
      <c r="R110" s="12">
        <v>6.9956840956859105</v>
      </c>
      <c r="S110" s="12">
        <v>1.3554094893010666</v>
      </c>
      <c r="T110" s="16">
        <v>0.21136738148936612</v>
      </c>
      <c r="U110" s="12">
        <v>1.2011822406250745</v>
      </c>
    </row>
    <row r="111" spans="1:21" x14ac:dyDescent="0.25">
      <c r="A111" s="4">
        <v>29252</v>
      </c>
      <c r="B111" s="9">
        <v>7.161860799344554</v>
      </c>
      <c r="C111" s="9">
        <v>14.903752062990826</v>
      </c>
      <c r="D111" s="5">
        <f t="shared" si="4"/>
        <v>2</v>
      </c>
      <c r="Q111" s="4">
        <v>29252</v>
      </c>
      <c r="R111" s="12">
        <v>21.357197408726467</v>
      </c>
      <c r="S111" s="12">
        <v>23.517846086811534</v>
      </c>
      <c r="T111" s="16">
        <v>0.52079456057427886</v>
      </c>
      <c r="U111" s="12">
        <v>22.812684289562132</v>
      </c>
    </row>
    <row r="112" spans="1:21" x14ac:dyDescent="0.25">
      <c r="A112" s="4">
        <v>29281</v>
      </c>
      <c r="B112" s="9">
        <v>92.25851511542615</v>
      </c>
      <c r="C112" s="9">
        <v>77.661459465597446</v>
      </c>
      <c r="D112" s="5">
        <f t="shared" si="4"/>
        <v>3</v>
      </c>
      <c r="Q112" s="4">
        <v>29281</v>
      </c>
      <c r="R112" s="12">
        <v>87.843131914076451</v>
      </c>
      <c r="S112" s="12">
        <v>133.84194296517316</v>
      </c>
      <c r="T112" s="16">
        <v>0.99150378105532466</v>
      </c>
      <c r="U112" s="12">
        <v>126.8104299555698</v>
      </c>
    </row>
    <row r="113" spans="1:21" x14ac:dyDescent="0.25">
      <c r="A113" s="4">
        <v>29312</v>
      </c>
      <c r="B113" s="9">
        <v>1.0267002266480163</v>
      </c>
      <c r="C113" s="9">
        <v>48.393373379430294</v>
      </c>
      <c r="D113" s="5">
        <f t="shared" si="4"/>
        <v>4</v>
      </c>
      <c r="Q113" s="4">
        <v>29312</v>
      </c>
      <c r="R113" s="12">
        <v>38.892783305432758</v>
      </c>
      <c r="S113" s="12">
        <v>45.587190052548024</v>
      </c>
      <c r="T113" s="16">
        <v>0.88343039899227471</v>
      </c>
      <c r="U113" s="12">
        <v>45.431793720020245</v>
      </c>
    </row>
    <row r="114" spans="1:21" x14ac:dyDescent="0.25">
      <c r="A114" s="4">
        <v>29342</v>
      </c>
      <c r="B114" s="9">
        <v>13.785662111162397</v>
      </c>
      <c r="C114" s="9">
        <v>19.040456733460061</v>
      </c>
      <c r="D114" s="5">
        <f t="shared" si="4"/>
        <v>5</v>
      </c>
      <c r="Q114" s="4">
        <v>29342</v>
      </c>
      <c r="R114" s="12">
        <v>8.4319788957683262</v>
      </c>
      <c r="S114" s="12">
        <v>4.7816668821897901</v>
      </c>
      <c r="T114" s="16">
        <v>0.2919190278086678</v>
      </c>
      <c r="U114" s="12">
        <v>4.6862280491422181</v>
      </c>
    </row>
    <row r="115" spans="1:21" x14ac:dyDescent="0.25">
      <c r="A115" s="4">
        <v>29373</v>
      </c>
      <c r="B115" s="9">
        <v>3.4050955534645291</v>
      </c>
      <c r="C115" s="9">
        <v>19.683745225492125</v>
      </c>
      <c r="D115" s="5">
        <f t="shared" si="4"/>
        <v>6</v>
      </c>
      <c r="Q115" s="4">
        <v>29373</v>
      </c>
      <c r="R115" s="12">
        <v>7.0893533957117016</v>
      </c>
      <c r="S115" s="12">
        <v>3.3499071172367176</v>
      </c>
      <c r="T115" s="16">
        <v>0.42646159996372612</v>
      </c>
      <c r="U115" s="12">
        <v>3.2640148845614947</v>
      </c>
    </row>
    <row r="116" spans="1:21" x14ac:dyDescent="0.25">
      <c r="A116" s="4">
        <v>29403</v>
      </c>
      <c r="B116" s="9">
        <v>2.8480498960954446</v>
      </c>
      <c r="C116" s="9">
        <v>9.6710480080040728</v>
      </c>
      <c r="D116" s="5">
        <f t="shared" si="4"/>
        <v>7</v>
      </c>
      <c r="Q116" s="4">
        <v>29403</v>
      </c>
      <c r="R116" s="12">
        <v>1.9656085295183712</v>
      </c>
      <c r="S116" s="12">
        <v>0.2730832945185534</v>
      </c>
      <c r="T116" s="16">
        <v>4.6952722403131482E-2</v>
      </c>
      <c r="U116" s="12">
        <v>0.20412014310616119</v>
      </c>
    </row>
    <row r="117" spans="1:21" x14ac:dyDescent="0.25">
      <c r="A117" s="4">
        <v>29434</v>
      </c>
      <c r="B117" s="9">
        <v>2.4184479793133082</v>
      </c>
      <c r="C117" s="9">
        <v>69.650640006434756</v>
      </c>
      <c r="D117" s="5">
        <f t="shared" si="4"/>
        <v>8</v>
      </c>
      <c r="Q117" s="4">
        <v>29434</v>
      </c>
      <c r="R117" s="12">
        <v>23.940701435390928</v>
      </c>
      <c r="S117" s="12">
        <v>31.470020681262376</v>
      </c>
      <c r="T117" s="16">
        <v>0.94421939007529576</v>
      </c>
      <c r="U117" s="12">
        <v>29.542521637947797</v>
      </c>
    </row>
    <row r="118" spans="1:21" x14ac:dyDescent="0.25">
      <c r="A118" s="4">
        <v>29465</v>
      </c>
      <c r="B118" s="9">
        <v>3.2762328849396707</v>
      </c>
      <c r="C118" s="9">
        <v>19.815272460410178</v>
      </c>
      <c r="D118" s="5">
        <f t="shared" si="4"/>
        <v>9</v>
      </c>
      <c r="Q118" s="4">
        <v>29465</v>
      </c>
      <c r="R118" s="12">
        <v>7.9933165385712934</v>
      </c>
      <c r="S118" s="12">
        <v>3.9616973593398819</v>
      </c>
      <c r="T118" s="16">
        <v>0.44966248870671843</v>
      </c>
      <c r="U118" s="12">
        <v>2.7015642761371219</v>
      </c>
    </row>
    <row r="119" spans="1:21" x14ac:dyDescent="0.25">
      <c r="A119" s="4">
        <v>29495</v>
      </c>
      <c r="B119" s="9">
        <v>122.82293210649276</v>
      </c>
      <c r="C119" s="9">
        <v>15.053465330888324</v>
      </c>
      <c r="D119" s="5">
        <f t="shared" si="4"/>
        <v>10</v>
      </c>
      <c r="Q119" s="4">
        <v>29495</v>
      </c>
      <c r="R119" s="12">
        <v>18.690433764948502</v>
      </c>
      <c r="S119" s="12">
        <v>17.919002124980686</v>
      </c>
      <c r="T119" s="16">
        <v>0.45583071967699146</v>
      </c>
      <c r="U119" s="12">
        <v>17.913790133245399</v>
      </c>
    </row>
    <row r="120" spans="1:21" x14ac:dyDescent="0.25">
      <c r="A120" s="4">
        <v>29526</v>
      </c>
      <c r="B120" s="9">
        <v>5.0442280128166548</v>
      </c>
      <c r="C120" s="9">
        <v>7.2683507648070913</v>
      </c>
      <c r="D120" s="5">
        <f t="shared" si="4"/>
        <v>11</v>
      </c>
      <c r="Q120" s="4">
        <v>29526</v>
      </c>
      <c r="R120" s="12">
        <v>7.4815278773617937</v>
      </c>
      <c r="S120" s="12">
        <v>6.9429135032669889</v>
      </c>
      <c r="T120" s="16">
        <v>0.25254606447948208</v>
      </c>
      <c r="U120" s="12">
        <v>6.7982522514346586</v>
      </c>
    </row>
    <row r="121" spans="1:21" x14ac:dyDescent="0.25">
      <c r="A121" s="4">
        <v>29556</v>
      </c>
      <c r="B121" s="9">
        <v>22.954765630458674</v>
      </c>
      <c r="C121" s="9">
        <v>29.597765616739458</v>
      </c>
      <c r="D121" s="5">
        <f t="shared" si="4"/>
        <v>12</v>
      </c>
      <c r="Q121" s="4">
        <v>29556</v>
      </c>
      <c r="R121" s="12">
        <v>53.937244723212828</v>
      </c>
      <c r="S121" s="12">
        <v>50.95424520871412</v>
      </c>
      <c r="T121" s="16">
        <v>0.85818655260899324</v>
      </c>
      <c r="U121" s="12">
        <v>49.870081595419045</v>
      </c>
    </row>
    <row r="122" spans="1:21" x14ac:dyDescent="0.25">
      <c r="A122" s="4">
        <v>29587</v>
      </c>
      <c r="B122" s="9">
        <v>219.19714377885498</v>
      </c>
      <c r="C122" s="9">
        <v>7.6711120921732467</v>
      </c>
      <c r="D122" s="5">
        <f t="shared" si="4"/>
        <v>1</v>
      </c>
      <c r="Q122" s="4">
        <v>29587</v>
      </c>
      <c r="R122" s="12">
        <v>13.141387134142587</v>
      </c>
      <c r="S122" s="12">
        <v>4.3095096886318869</v>
      </c>
      <c r="T122" s="16">
        <v>0.37026825542398062</v>
      </c>
      <c r="U122" s="12">
        <v>4.7598140171610579</v>
      </c>
    </row>
    <row r="123" spans="1:21" x14ac:dyDescent="0.25">
      <c r="A123" s="4">
        <v>29618</v>
      </c>
      <c r="B123" s="9">
        <v>25.567261979690652</v>
      </c>
      <c r="C123" s="9">
        <v>16.54183237815937</v>
      </c>
      <c r="D123" s="5">
        <f t="shared" si="4"/>
        <v>2</v>
      </c>
      <c r="Q123" s="4">
        <v>29618</v>
      </c>
      <c r="R123" s="12">
        <v>23.704579766842727</v>
      </c>
      <c r="S123" s="12">
        <v>25.751658655308233</v>
      </c>
      <c r="T123" s="16">
        <v>0.55788831204914513</v>
      </c>
      <c r="U123" s="12">
        <v>25.011424339090045</v>
      </c>
    </row>
    <row r="124" spans="1:21" x14ac:dyDescent="0.25">
      <c r="A124" s="4">
        <v>29646</v>
      </c>
      <c r="B124" s="9">
        <v>17.462822334585493</v>
      </c>
      <c r="C124" s="9">
        <v>23.938891273656701</v>
      </c>
      <c r="D124" s="5">
        <f t="shared" si="4"/>
        <v>3</v>
      </c>
      <c r="Q124" s="4">
        <v>29646</v>
      </c>
      <c r="R124" s="12">
        <v>27.077358557240217</v>
      </c>
      <c r="S124" s="12">
        <v>24.354281767028954</v>
      </c>
      <c r="T124" s="16">
        <v>0.65634022542601822</v>
      </c>
      <c r="U124" s="12">
        <v>25.140196774127297</v>
      </c>
    </row>
    <row r="125" spans="1:21" x14ac:dyDescent="0.25">
      <c r="A125" s="4">
        <v>29677</v>
      </c>
      <c r="B125" s="9">
        <v>9.0835475107285877</v>
      </c>
      <c r="C125" s="9">
        <v>38.615237515685422</v>
      </c>
      <c r="D125" s="5">
        <f t="shared" si="4"/>
        <v>4</v>
      </c>
      <c r="Q125" s="4">
        <v>29677</v>
      </c>
      <c r="R125" s="12">
        <v>31.034291683078592</v>
      </c>
      <c r="S125" s="12">
        <v>31.674548299665155</v>
      </c>
      <c r="T125" s="16">
        <v>0.79646169208478435</v>
      </c>
      <c r="U125" s="12">
        <v>33.2020801252797</v>
      </c>
    </row>
    <row r="126" spans="1:21" x14ac:dyDescent="0.25">
      <c r="A126" s="4">
        <v>29707</v>
      </c>
      <c r="B126" s="9">
        <v>6.4113999444079752</v>
      </c>
      <c r="C126" s="9">
        <v>62.938804196008796</v>
      </c>
      <c r="D126" s="5">
        <f t="shared" si="4"/>
        <v>5</v>
      </c>
      <c r="Q126" s="4">
        <v>29707</v>
      </c>
      <c r="R126" s="12">
        <v>27.872160638512256</v>
      </c>
      <c r="S126" s="12">
        <v>33.293879570331086</v>
      </c>
      <c r="T126" s="16">
        <v>0.88651415553481927</v>
      </c>
      <c r="U126" s="12">
        <v>33.923372870545656</v>
      </c>
    </row>
    <row r="127" spans="1:21" x14ac:dyDescent="0.25">
      <c r="A127" s="4">
        <v>29738</v>
      </c>
      <c r="B127" s="9">
        <v>1.6507937037460199</v>
      </c>
      <c r="C127" s="9">
        <v>7.9341070347907428</v>
      </c>
      <c r="D127" s="5">
        <f t="shared" si="4"/>
        <v>6</v>
      </c>
      <c r="Q127" s="4">
        <v>29738</v>
      </c>
      <c r="R127" s="12">
        <v>2.8575704473246439</v>
      </c>
      <c r="S127" s="12">
        <v>0.66696764954862919</v>
      </c>
      <c r="T127" s="16">
        <v>0.16666706188192099</v>
      </c>
      <c r="U127" s="12">
        <v>0.40391650403317958</v>
      </c>
    </row>
    <row r="128" spans="1:21" x14ac:dyDescent="0.25">
      <c r="A128" s="4">
        <v>29768</v>
      </c>
      <c r="B128" s="9">
        <v>26.997167469328193</v>
      </c>
      <c r="C128" s="9">
        <v>39.485949008393334</v>
      </c>
      <c r="D128" s="5">
        <f t="shared" si="4"/>
        <v>7</v>
      </c>
      <c r="Q128" s="4">
        <v>29768</v>
      </c>
      <c r="R128" s="12">
        <v>8.0253885724473299</v>
      </c>
      <c r="S128" s="12">
        <v>4.8143610979952323</v>
      </c>
      <c r="T128" s="16">
        <v>0.49932525439501418</v>
      </c>
      <c r="U128" s="12">
        <v>5.6843593165307293</v>
      </c>
    </row>
    <row r="129" spans="1:21" x14ac:dyDescent="0.25">
      <c r="A129" s="4">
        <v>29799</v>
      </c>
      <c r="B129" s="9">
        <v>7.6239822066739107</v>
      </c>
      <c r="C129" s="9">
        <v>18.744074792494931</v>
      </c>
      <c r="D129" s="5">
        <f t="shared" si="4"/>
        <v>8</v>
      </c>
      <c r="Q129" s="4">
        <v>29799</v>
      </c>
      <c r="R129" s="12">
        <v>6.4428165806990476</v>
      </c>
      <c r="S129" s="12">
        <v>4.0238763160559596</v>
      </c>
      <c r="T129" s="16">
        <v>0.47292372733455124</v>
      </c>
      <c r="U129" s="12">
        <v>4.7852263083926942</v>
      </c>
    </row>
    <row r="130" spans="1:21" x14ac:dyDescent="0.25">
      <c r="A130" s="4">
        <v>29830</v>
      </c>
      <c r="B130" s="9">
        <v>3.683517224284063</v>
      </c>
      <c r="C130" s="9">
        <v>82.25706387948847</v>
      </c>
      <c r="D130" s="5">
        <f t="shared" si="4"/>
        <v>9</v>
      </c>
      <c r="Q130" s="4">
        <v>29830</v>
      </c>
      <c r="R130" s="12">
        <v>33.18181722890224</v>
      </c>
      <c r="S130" s="12">
        <v>38.817137163872331</v>
      </c>
      <c r="T130" s="16">
        <v>0.90313378844521264</v>
      </c>
      <c r="U130" s="12">
        <v>41.646369629465198</v>
      </c>
    </row>
    <row r="131" spans="1:21" x14ac:dyDescent="0.25">
      <c r="A131" s="4">
        <v>29860</v>
      </c>
      <c r="B131" s="9">
        <v>6.5742292789752081</v>
      </c>
      <c r="C131" s="9">
        <v>42.032642036146399</v>
      </c>
      <c r="D131" s="5">
        <f t="shared" ref="D131:D194" si="5">MONTH(A131)</f>
        <v>10</v>
      </c>
      <c r="Q131" s="4">
        <v>29860</v>
      </c>
      <c r="R131" s="12">
        <v>52.187871342181161</v>
      </c>
      <c r="S131" s="12">
        <v>52.916818544474495</v>
      </c>
      <c r="T131" s="16">
        <v>0.85314349129950739</v>
      </c>
      <c r="U131" s="12">
        <v>53.123166592831531</v>
      </c>
    </row>
    <row r="132" spans="1:21" x14ac:dyDescent="0.25">
      <c r="A132" s="4">
        <v>29891</v>
      </c>
      <c r="B132" s="9">
        <v>32.757160146959357</v>
      </c>
      <c r="C132" s="9">
        <v>19.423676058232274</v>
      </c>
      <c r="D132" s="5">
        <f t="shared" si="5"/>
        <v>11</v>
      </c>
      <c r="Q132" s="4">
        <v>29891</v>
      </c>
      <c r="R132" s="12">
        <v>19.99336281541807</v>
      </c>
      <c r="S132" s="12">
        <v>19.23503675431034</v>
      </c>
      <c r="T132" s="16">
        <v>0.48254519565645027</v>
      </c>
      <c r="U132" s="12">
        <v>19.175591319386797</v>
      </c>
    </row>
    <row r="133" spans="1:21" x14ac:dyDescent="0.25">
      <c r="A133" s="4">
        <v>29921</v>
      </c>
      <c r="B133" s="9">
        <v>13.217134748051638</v>
      </c>
      <c r="C133" s="9">
        <v>8.5168984626903033</v>
      </c>
      <c r="D133" s="5">
        <f t="shared" si="5"/>
        <v>12</v>
      </c>
      <c r="Q133" s="4">
        <v>29921</v>
      </c>
      <c r="R133" s="12">
        <v>15.520699860028417</v>
      </c>
      <c r="S133" s="12">
        <v>17.968701945606981</v>
      </c>
      <c r="T133" s="16">
        <v>0.49924448674835842</v>
      </c>
      <c r="U133" s="12">
        <v>19.122919600930892</v>
      </c>
    </row>
    <row r="134" spans="1:21" x14ac:dyDescent="0.25">
      <c r="A134" s="4">
        <v>29952</v>
      </c>
      <c r="B134" s="9">
        <v>18.90585223020679</v>
      </c>
      <c r="C134" s="9">
        <v>27.66771930376769</v>
      </c>
      <c r="D134" s="5">
        <f t="shared" si="5"/>
        <v>1</v>
      </c>
      <c r="Q134" s="4">
        <v>29952</v>
      </c>
      <c r="R134" s="12">
        <v>47.397588005599658</v>
      </c>
      <c r="S134" s="12">
        <v>45.348111431176463</v>
      </c>
      <c r="T134" s="16">
        <v>0.8292312160210884</v>
      </c>
      <c r="U134" s="12">
        <v>50.854730725794994</v>
      </c>
    </row>
    <row r="135" spans="1:21" x14ac:dyDescent="0.25">
      <c r="A135" s="4">
        <v>29983</v>
      </c>
      <c r="B135" s="9">
        <v>111.24660146852426</v>
      </c>
      <c r="C135" s="9">
        <v>62.915670317375771</v>
      </c>
      <c r="D135" s="5">
        <f t="shared" si="5"/>
        <v>2</v>
      </c>
      <c r="Q135" s="4">
        <v>29983</v>
      </c>
      <c r="R135" s="12">
        <v>90.158665106033553</v>
      </c>
      <c r="S135" s="12">
        <v>82.347165573606176</v>
      </c>
      <c r="T135" s="16">
        <v>0.95464435652497837</v>
      </c>
      <c r="U135" s="12">
        <v>83.711633361780017</v>
      </c>
    </row>
    <row r="136" spans="1:21" x14ac:dyDescent="0.25">
      <c r="A136" s="4">
        <v>30011</v>
      </c>
      <c r="B136" s="9">
        <v>7.8443635327236141</v>
      </c>
      <c r="C136" s="9">
        <v>7.4613024662819196</v>
      </c>
      <c r="D136" s="5">
        <f t="shared" si="5"/>
        <v>3</v>
      </c>
      <c r="Q136" s="4">
        <v>30011</v>
      </c>
      <c r="R136" s="12">
        <v>8.4395037294755841</v>
      </c>
      <c r="S136" s="12">
        <v>4.5032477018530059</v>
      </c>
      <c r="T136" s="16">
        <v>0.17957090625390049</v>
      </c>
      <c r="U136" s="12">
        <v>3.7003607829180938</v>
      </c>
    </row>
    <row r="137" spans="1:21" x14ac:dyDescent="0.25">
      <c r="A137" s="4">
        <v>30042</v>
      </c>
      <c r="B137" s="9">
        <v>88.924720534609676</v>
      </c>
      <c r="C137" s="9">
        <v>44.027396324447466</v>
      </c>
      <c r="D137" s="5">
        <f t="shared" si="5"/>
        <v>4</v>
      </c>
      <c r="Q137" s="4">
        <v>30042</v>
      </c>
      <c r="R137" s="12">
        <v>35.383935137635582</v>
      </c>
      <c r="S137" s="12">
        <v>39.138329449752206</v>
      </c>
      <c r="T137" s="16">
        <v>0.8500210715804255</v>
      </c>
      <c r="U137" s="12">
        <v>39.889847645634376</v>
      </c>
    </row>
    <row r="138" spans="1:21" x14ac:dyDescent="0.25">
      <c r="A138" s="4">
        <v>30072</v>
      </c>
      <c r="B138" s="9">
        <v>25.614793646043942</v>
      </c>
      <c r="C138" s="9">
        <v>29.85148591451054</v>
      </c>
      <c r="D138" s="5">
        <f t="shared" si="5"/>
        <v>5</v>
      </c>
      <c r="Q138" s="4">
        <v>30072</v>
      </c>
      <c r="R138" s="12">
        <v>13.219593561332482</v>
      </c>
      <c r="S138" s="12">
        <v>9.9209678553260954</v>
      </c>
      <c r="T138" s="16">
        <v>0.51310670442513429</v>
      </c>
      <c r="U138" s="12">
        <v>10.418049615448586</v>
      </c>
    </row>
    <row r="139" spans="1:21" x14ac:dyDescent="0.25">
      <c r="A139" s="4">
        <v>30103</v>
      </c>
      <c r="B139" s="9">
        <v>3.6546572253042338</v>
      </c>
      <c r="C139" s="9">
        <v>35.49111951431167</v>
      </c>
      <c r="D139" s="5">
        <f t="shared" si="5"/>
        <v>6</v>
      </c>
      <c r="Q139" s="4">
        <v>30103</v>
      </c>
      <c r="R139" s="12">
        <v>12.782582062713356</v>
      </c>
      <c r="S139" s="12">
        <v>9.544994254394954</v>
      </c>
      <c r="T139" s="16">
        <v>0.67279597991629481</v>
      </c>
      <c r="U139" s="12">
        <v>10.459876591992863</v>
      </c>
    </row>
    <row r="140" spans="1:21" x14ac:dyDescent="0.25">
      <c r="A140" s="4">
        <v>30133</v>
      </c>
      <c r="B140" s="9">
        <v>6.3024032742906462</v>
      </c>
      <c r="C140" s="9">
        <v>3.0291630268230909</v>
      </c>
      <c r="D140" s="5">
        <f t="shared" si="5"/>
        <v>7</v>
      </c>
      <c r="Q140" s="4">
        <v>30133</v>
      </c>
      <c r="R140" s="12">
        <v>0.61566736902735952</v>
      </c>
      <c r="S140" s="12">
        <v>2.5582166570806641E-2</v>
      </c>
      <c r="T140" s="16">
        <v>3.738230509590333E-3</v>
      </c>
      <c r="U140" s="12">
        <v>7.455910452043699E-3</v>
      </c>
    </row>
    <row r="141" spans="1:21" x14ac:dyDescent="0.25">
      <c r="A141" s="4">
        <v>30164</v>
      </c>
      <c r="B141" s="9">
        <v>4.6890105096081367</v>
      </c>
      <c r="C141" s="9">
        <v>5.704803404303604</v>
      </c>
      <c r="D141" s="5">
        <f t="shared" si="5"/>
        <v>8</v>
      </c>
      <c r="Q141" s="4">
        <v>30164</v>
      </c>
      <c r="R141" s="12">
        <v>1.9608864331672546</v>
      </c>
      <c r="S141" s="12">
        <v>0.62391595096740859</v>
      </c>
      <c r="T141" s="16">
        <v>0.13995028877446175</v>
      </c>
      <c r="U141" s="12">
        <v>0.7084199858557213</v>
      </c>
    </row>
    <row r="142" spans="1:21" x14ac:dyDescent="0.25">
      <c r="A142" s="4">
        <v>30195</v>
      </c>
      <c r="B142" s="9">
        <v>24.422782596775775</v>
      </c>
      <c r="C142" s="9">
        <v>76.969226227746219</v>
      </c>
      <c r="D142" s="5">
        <f t="shared" si="5"/>
        <v>9</v>
      </c>
      <c r="Q142" s="4">
        <v>30195</v>
      </c>
      <c r="R142" s="12">
        <v>31.048747383943049</v>
      </c>
      <c r="S142" s="12">
        <v>34.894531256025125</v>
      </c>
      <c r="T142" s="16">
        <v>0.88799567357901754</v>
      </c>
      <c r="U142" s="12">
        <v>37.397227597659992</v>
      </c>
    </row>
    <row r="143" spans="1:21" x14ac:dyDescent="0.25">
      <c r="A143" s="4">
        <v>30225</v>
      </c>
      <c r="B143" s="9">
        <v>18.083628360509547</v>
      </c>
      <c r="C143" s="9">
        <v>3.0414631531129137</v>
      </c>
      <c r="D143" s="5">
        <f t="shared" si="5"/>
        <v>10</v>
      </c>
      <c r="Q143" s="4">
        <v>30225</v>
      </c>
      <c r="R143" s="12">
        <v>3.7762909976047201</v>
      </c>
      <c r="S143" s="12">
        <v>3.3179292392474382</v>
      </c>
      <c r="T143" s="16">
        <v>8.9812957661101867E-2</v>
      </c>
      <c r="U143" s="12">
        <v>3.1762054601456038</v>
      </c>
    </row>
    <row r="144" spans="1:21" x14ac:dyDescent="0.25">
      <c r="A144" s="4">
        <v>30256</v>
      </c>
      <c r="B144" s="9">
        <v>0.7638784394352266</v>
      </c>
      <c r="C144" s="9">
        <v>16.293413498476752</v>
      </c>
      <c r="D144" s="5">
        <f t="shared" si="5"/>
        <v>11</v>
      </c>
      <c r="Q144" s="4">
        <v>30256</v>
      </c>
      <c r="R144" s="12">
        <v>16.771291211820333</v>
      </c>
      <c r="S144" s="12">
        <v>16.031522996485908</v>
      </c>
      <c r="T144" s="16">
        <v>0.43345069973813</v>
      </c>
      <c r="U144" s="12">
        <v>15.942433768410273</v>
      </c>
    </row>
    <row r="145" spans="1:21" x14ac:dyDescent="0.25">
      <c r="A145" s="4">
        <v>30286</v>
      </c>
      <c r="B145" s="9">
        <v>25.076502663496083</v>
      </c>
      <c r="C145" s="9">
        <v>16.724439209349391</v>
      </c>
      <c r="D145" s="5">
        <f t="shared" si="5"/>
        <v>12</v>
      </c>
      <c r="Q145" s="4">
        <v>30286</v>
      </c>
      <c r="R145" s="12">
        <v>30.477644230785952</v>
      </c>
      <c r="S145" s="12">
        <v>31.604107435041453</v>
      </c>
      <c r="T145" s="16">
        <v>0.69994343141120929</v>
      </c>
      <c r="U145" s="12">
        <v>31.800306528537686</v>
      </c>
    </row>
    <row r="146" spans="1:21" x14ac:dyDescent="0.25">
      <c r="A146" s="4">
        <v>30317</v>
      </c>
      <c r="B146" s="9">
        <v>18.412726436344123</v>
      </c>
      <c r="C146" s="9">
        <v>21.133142281921806</v>
      </c>
      <c r="D146" s="5">
        <f t="shared" si="5"/>
        <v>1</v>
      </c>
      <c r="Q146" s="4">
        <v>30317</v>
      </c>
      <c r="R146" s="12">
        <v>36.203199842563301</v>
      </c>
      <c r="S146" s="12">
        <v>27.662018612962218</v>
      </c>
      <c r="T146" s="16">
        <v>0.73715783082451936</v>
      </c>
      <c r="U146" s="12">
        <v>32.554396641885283</v>
      </c>
    </row>
    <row r="147" spans="1:21" x14ac:dyDescent="0.25">
      <c r="A147" s="4">
        <v>30348</v>
      </c>
      <c r="B147" s="9">
        <v>24.454499441724007</v>
      </c>
      <c r="C147" s="9">
        <v>7.126672950030839</v>
      </c>
      <c r="D147" s="5">
        <f t="shared" si="5"/>
        <v>2</v>
      </c>
      <c r="Q147" s="4">
        <v>30348</v>
      </c>
      <c r="R147" s="12">
        <v>10.212580054870799</v>
      </c>
      <c r="S147" s="12">
        <v>12.376322994421239</v>
      </c>
      <c r="T147" s="16">
        <v>0.29723224908492718</v>
      </c>
      <c r="U147" s="12">
        <v>11.997748510960061</v>
      </c>
    </row>
    <row r="148" spans="1:21" x14ac:dyDescent="0.25">
      <c r="A148" s="4">
        <v>30376</v>
      </c>
      <c r="B148" s="9">
        <v>5.7335152983381903</v>
      </c>
      <c r="C148" s="9">
        <v>24.351032644998703</v>
      </c>
      <c r="D148" s="5">
        <f t="shared" si="5"/>
        <v>3</v>
      </c>
      <c r="Q148" s="4">
        <v>30376</v>
      </c>
      <c r="R148" s="12">
        <v>27.54353301622114</v>
      </c>
      <c r="S148" s="12">
        <v>24.96370348739763</v>
      </c>
      <c r="T148" s="16">
        <v>0.6648216514344214</v>
      </c>
      <c r="U148" s="12">
        <v>25.792794475664895</v>
      </c>
    </row>
    <row r="149" spans="1:21" x14ac:dyDescent="0.25">
      <c r="A149" s="4">
        <v>30407</v>
      </c>
      <c r="B149" s="9">
        <v>1.7591198847701142</v>
      </c>
      <c r="C149" s="9">
        <v>4.9473318327815061</v>
      </c>
      <c r="D149" s="5">
        <f t="shared" si="5"/>
        <v>4</v>
      </c>
      <c r="Q149" s="4">
        <v>30407</v>
      </c>
      <c r="R149" s="12">
        <v>3.976071339433163</v>
      </c>
      <c r="S149" s="12">
        <v>1.151215790818011</v>
      </c>
      <c r="T149" s="16">
        <v>6.6405813903875843E-2</v>
      </c>
      <c r="U149" s="12">
        <v>1.1457202981572525</v>
      </c>
    </row>
    <row r="150" spans="1:21" x14ac:dyDescent="0.25">
      <c r="A150" s="4">
        <v>30437</v>
      </c>
      <c r="B150" s="9">
        <v>1.7845884812752582</v>
      </c>
      <c r="C150" s="9">
        <v>37.762705725362068</v>
      </c>
      <c r="D150" s="5">
        <f t="shared" si="5"/>
        <v>5</v>
      </c>
      <c r="Q150" s="4">
        <v>30437</v>
      </c>
      <c r="R150" s="12">
        <v>16.723040953309106</v>
      </c>
      <c r="S150" s="12">
        <v>14.530109069303528</v>
      </c>
      <c r="T150" s="16">
        <v>0.64481327787215137</v>
      </c>
      <c r="U150" s="12">
        <v>15.40090994909885</v>
      </c>
    </row>
    <row r="151" spans="1:21" x14ac:dyDescent="0.25">
      <c r="A151" s="4">
        <v>30468</v>
      </c>
      <c r="B151" s="9">
        <v>77.613440245497515</v>
      </c>
      <c r="C151" s="9">
        <v>41.77260415715697</v>
      </c>
      <c r="D151" s="5">
        <f t="shared" si="5"/>
        <v>6</v>
      </c>
      <c r="Q151" s="4">
        <v>30468</v>
      </c>
      <c r="R151" s="12">
        <v>15.044939351568829</v>
      </c>
      <c r="S151" s="12">
        <v>12.749249809053614</v>
      </c>
      <c r="T151" s="16">
        <v>0.74070685981687934</v>
      </c>
      <c r="U151" s="12">
        <v>14.034287826610525</v>
      </c>
    </row>
    <row r="152" spans="1:21" x14ac:dyDescent="0.25">
      <c r="A152" s="4">
        <v>30498</v>
      </c>
      <c r="B152" s="9">
        <v>13.776646885175417</v>
      </c>
      <c r="C152" s="9">
        <v>12.304959185082568</v>
      </c>
      <c r="D152" s="5">
        <f t="shared" si="5"/>
        <v>7</v>
      </c>
      <c r="Q152" s="4">
        <v>30498</v>
      </c>
      <c r="R152" s="12">
        <v>2.5009422670175971</v>
      </c>
      <c r="S152" s="12">
        <v>0.44634415313345133</v>
      </c>
      <c r="T152" s="16">
        <v>7.600465124845332E-2</v>
      </c>
      <c r="U152" s="12">
        <v>0.38581688811200271</v>
      </c>
    </row>
    <row r="153" spans="1:21" x14ac:dyDescent="0.25">
      <c r="A153" s="4">
        <v>30529</v>
      </c>
      <c r="B153" s="9">
        <v>1.4274763834338673</v>
      </c>
      <c r="C153" s="9">
        <v>51.169784768153406</v>
      </c>
      <c r="D153" s="5">
        <f t="shared" si="5"/>
        <v>8</v>
      </c>
      <c r="Q153" s="4">
        <v>30529</v>
      </c>
      <c r="R153" s="12">
        <v>17.588360128986587</v>
      </c>
      <c r="S153" s="12">
        <v>19.411786546805516</v>
      </c>
      <c r="T153" s="16">
        <v>0.87055103500585906</v>
      </c>
      <c r="U153" s="12">
        <v>19.792038428005061</v>
      </c>
    </row>
    <row r="154" spans="1:21" x14ac:dyDescent="0.25">
      <c r="A154" s="4">
        <v>30560</v>
      </c>
      <c r="B154" s="9">
        <v>1.9517522748328595</v>
      </c>
      <c r="C154" s="9">
        <v>23.409792724356567</v>
      </c>
      <c r="D154" s="5">
        <f t="shared" si="5"/>
        <v>9</v>
      </c>
      <c r="Q154" s="4">
        <v>30560</v>
      </c>
      <c r="R154" s="12">
        <v>9.4433161957265277</v>
      </c>
      <c r="S154" s="12">
        <v>5.175581951148545</v>
      </c>
      <c r="T154" s="16">
        <v>0.50325874631005318</v>
      </c>
      <c r="U154" s="12">
        <v>3.9058300027819914</v>
      </c>
    </row>
    <row r="155" spans="1:21" x14ac:dyDescent="0.25">
      <c r="A155" s="4">
        <v>30590</v>
      </c>
      <c r="B155" s="9">
        <v>0.55175129480283636</v>
      </c>
      <c r="C155" s="9">
        <v>18.264426954659662</v>
      </c>
      <c r="D155" s="5">
        <f t="shared" si="5"/>
        <v>10</v>
      </c>
      <c r="Q155" s="4">
        <v>30590</v>
      </c>
      <c r="R155" s="12">
        <v>22.67717464033657</v>
      </c>
      <c r="S155" s="12">
        <v>21.971743076686483</v>
      </c>
      <c r="T155" s="16">
        <v>0.53133778686872568</v>
      </c>
      <c r="U155" s="12">
        <v>22.01725091818485</v>
      </c>
    </row>
    <row r="156" spans="1:21" x14ac:dyDescent="0.25">
      <c r="A156" s="4">
        <v>30621</v>
      </c>
      <c r="B156" s="9">
        <v>16.022683472343743</v>
      </c>
      <c r="C156" s="9">
        <v>16.420459794123129</v>
      </c>
      <c r="D156" s="5">
        <f t="shared" si="5"/>
        <v>11</v>
      </c>
      <c r="Q156" s="4">
        <v>30621</v>
      </c>
      <c r="R156" s="12">
        <v>16.902063712123454</v>
      </c>
      <c r="S156" s="12">
        <v>16.161130040663597</v>
      </c>
      <c r="T156" s="16">
        <v>0.43555320967214095</v>
      </c>
      <c r="U156" s="12">
        <v>16.073198585939117</v>
      </c>
    </row>
    <row r="157" spans="1:21" x14ac:dyDescent="0.25">
      <c r="A157" s="4">
        <v>30651</v>
      </c>
      <c r="B157" s="9">
        <v>103.78714134370219</v>
      </c>
      <c r="C157" s="9">
        <v>92.303726594389417</v>
      </c>
      <c r="D157" s="5">
        <f t="shared" si="5"/>
        <v>12</v>
      </c>
      <c r="Q157" s="4">
        <v>30651</v>
      </c>
      <c r="R157" s="12">
        <v>168.20893693983385</v>
      </c>
      <c r="S157" s="12">
        <v>131.97825250283148</v>
      </c>
      <c r="T157" s="16">
        <v>0.99528158889953633</v>
      </c>
      <c r="U157" s="12">
        <v>129.61317576051891</v>
      </c>
    </row>
    <row r="158" spans="1:21" x14ac:dyDescent="0.25">
      <c r="A158" s="4">
        <v>30682</v>
      </c>
      <c r="B158" s="9">
        <v>14.794714182244702</v>
      </c>
      <c r="C158" s="9">
        <v>41.761352708409554</v>
      </c>
      <c r="D158" s="5">
        <f t="shared" si="5"/>
        <v>1</v>
      </c>
      <c r="Q158" s="4">
        <v>30682</v>
      </c>
      <c r="R158" s="12">
        <v>71.541400593874883</v>
      </c>
      <c r="S158" s="12">
        <v>96.516890016418344</v>
      </c>
      <c r="T158" s="16">
        <v>0.93310897178843399</v>
      </c>
      <c r="U158" s="12">
        <v>95.809230077379667</v>
      </c>
    </row>
    <row r="159" spans="1:21" x14ac:dyDescent="0.25">
      <c r="A159" s="4">
        <v>30713</v>
      </c>
      <c r="B159" s="9">
        <v>43.551631779629872</v>
      </c>
      <c r="C159" s="9">
        <v>15.726174450209825</v>
      </c>
      <c r="D159" s="5">
        <f t="shared" si="5"/>
        <v>2</v>
      </c>
      <c r="Q159" s="4">
        <v>30713</v>
      </c>
      <c r="R159" s="12">
        <v>22.535735350243151</v>
      </c>
      <c r="S159" s="12">
        <v>24.643143374138326</v>
      </c>
      <c r="T159" s="16">
        <v>0.53979269982463407</v>
      </c>
      <c r="U159" s="12">
        <v>23.919030430157516</v>
      </c>
    </row>
    <row r="160" spans="1:21" x14ac:dyDescent="0.25">
      <c r="A160" s="4">
        <v>30742</v>
      </c>
      <c r="B160" s="9">
        <v>22.326756222743899</v>
      </c>
      <c r="C160" s="9">
        <v>6.0644963446640103</v>
      </c>
      <c r="D160" s="5">
        <f t="shared" si="5"/>
        <v>3</v>
      </c>
      <c r="Q160" s="4">
        <v>30742</v>
      </c>
      <c r="R160" s="12">
        <v>6.859571736901775</v>
      </c>
      <c r="S160" s="12">
        <v>3.335701970790272</v>
      </c>
      <c r="T160" s="16">
        <v>0.13381771939663956</v>
      </c>
      <c r="U160" s="12">
        <v>2.5480797929179908</v>
      </c>
    </row>
    <row r="161" spans="1:21" x14ac:dyDescent="0.25">
      <c r="A161" s="4">
        <v>30773</v>
      </c>
      <c r="B161" s="9">
        <v>9.6553864772774105</v>
      </c>
      <c r="C161" s="9">
        <v>25.692516106238564</v>
      </c>
      <c r="D161" s="5">
        <f t="shared" si="5"/>
        <v>4</v>
      </c>
      <c r="Q161" s="4">
        <v>30773</v>
      </c>
      <c r="R161" s="12">
        <v>20.648559745083038</v>
      </c>
      <c r="S161" s="12">
        <v>16.415740818743014</v>
      </c>
      <c r="T161" s="16">
        <v>0.59564659966331235</v>
      </c>
      <c r="U161" s="12">
        <v>18.336055949124304</v>
      </c>
    </row>
    <row r="162" spans="1:21" x14ac:dyDescent="0.25">
      <c r="A162" s="4">
        <v>30803</v>
      </c>
      <c r="B162" s="9">
        <v>3.1913376178139172</v>
      </c>
      <c r="C162" s="9">
        <v>62.886260865005106</v>
      </c>
      <c r="D162" s="5">
        <f t="shared" si="5"/>
        <v>5</v>
      </c>
      <c r="Q162" s="4">
        <v>30803</v>
      </c>
      <c r="R162" s="12">
        <v>27.848892065476509</v>
      </c>
      <c r="S162" s="12">
        <v>33.248777311453807</v>
      </c>
      <c r="T162" s="16">
        <v>0.88622613183250343</v>
      </c>
      <c r="U162" s="12">
        <v>33.881718006327063</v>
      </c>
    </row>
    <row r="163" spans="1:21" x14ac:dyDescent="0.25">
      <c r="A163" s="4">
        <v>30834</v>
      </c>
      <c r="B163" s="9">
        <v>19.66459161976324</v>
      </c>
      <c r="C163" s="9">
        <v>94.79331637156767</v>
      </c>
      <c r="D163" s="5">
        <f t="shared" si="5"/>
        <v>6</v>
      </c>
      <c r="Q163" s="4">
        <v>30834</v>
      </c>
      <c r="R163" s="12">
        <v>34.141029139069509</v>
      </c>
      <c r="S163" s="12">
        <v>54.654979528448557</v>
      </c>
      <c r="T163" s="16">
        <v>0.9669766747419033</v>
      </c>
      <c r="U163" s="12">
        <v>52.263154659727874</v>
      </c>
    </row>
    <row r="164" spans="1:21" x14ac:dyDescent="0.25">
      <c r="A164" s="4">
        <v>30864</v>
      </c>
      <c r="B164" s="9">
        <v>10.663485140150476</v>
      </c>
      <c r="C164" s="9">
        <v>29.392111715064239</v>
      </c>
      <c r="D164" s="5">
        <f t="shared" si="5"/>
        <v>7</v>
      </c>
      <c r="Q164" s="4">
        <v>30864</v>
      </c>
      <c r="R164" s="12">
        <v>5.9738495186738794</v>
      </c>
      <c r="S164" s="12">
        <v>2.6364199211786308</v>
      </c>
      <c r="T164" s="16">
        <v>0.34023060828621526</v>
      </c>
      <c r="U164" s="12">
        <v>3.0789160331791074</v>
      </c>
    </row>
    <row r="165" spans="1:21" x14ac:dyDescent="0.25">
      <c r="A165" s="4">
        <v>30895</v>
      </c>
      <c r="B165" s="9">
        <v>14.170847830369199</v>
      </c>
      <c r="C165" s="9">
        <v>22.769968157216329</v>
      </c>
      <c r="D165" s="5">
        <f t="shared" si="5"/>
        <v>8</v>
      </c>
      <c r="Q165" s="4">
        <v>30895</v>
      </c>
      <c r="R165" s="12">
        <v>7.8266188120441145</v>
      </c>
      <c r="S165" s="12">
        <v>5.4581905943719748</v>
      </c>
      <c r="T165" s="16">
        <v>0.55317026271495084</v>
      </c>
      <c r="U165" s="12">
        <v>6.3917516267836829</v>
      </c>
    </row>
    <row r="166" spans="1:21" x14ac:dyDescent="0.25">
      <c r="A166" s="4">
        <v>30926</v>
      </c>
      <c r="B166" s="9">
        <v>1.1854117298028395</v>
      </c>
      <c r="C166" s="9">
        <v>26.508834977272176</v>
      </c>
      <c r="D166" s="5">
        <f t="shared" si="5"/>
        <v>9</v>
      </c>
      <c r="Q166" s="4">
        <v>30926</v>
      </c>
      <c r="R166" s="12">
        <v>10.693444133328896</v>
      </c>
      <c r="S166" s="12">
        <v>6.3172561051387719</v>
      </c>
      <c r="T166" s="16">
        <v>0.54504456627350795</v>
      </c>
      <c r="U166" s="12">
        <v>5.1000042223830739</v>
      </c>
    </row>
    <row r="167" spans="1:21" x14ac:dyDescent="0.25">
      <c r="A167" s="4">
        <v>30956</v>
      </c>
      <c r="B167" s="9">
        <v>9.0825561212291603</v>
      </c>
      <c r="C167" s="9">
        <v>18.608865082711581</v>
      </c>
      <c r="D167" s="5">
        <f t="shared" si="5"/>
        <v>10</v>
      </c>
      <c r="Q167" s="4">
        <v>30956</v>
      </c>
      <c r="R167" s="12">
        <v>23.104830191863812</v>
      </c>
      <c r="S167" s="12">
        <v>22.408924579691405</v>
      </c>
      <c r="T167" s="16">
        <v>0.53886249130134989</v>
      </c>
      <c r="U167" s="12">
        <v>22.459610981970208</v>
      </c>
    </row>
    <row r="168" spans="1:21" x14ac:dyDescent="0.25">
      <c r="A168" s="4">
        <v>30987</v>
      </c>
      <c r="B168" s="9">
        <v>35.235829084402994</v>
      </c>
      <c r="C168" s="9">
        <v>16.355367017782292</v>
      </c>
      <c r="D168" s="5">
        <f t="shared" si="5"/>
        <v>11</v>
      </c>
      <c r="Q168" s="4">
        <v>30987</v>
      </c>
      <c r="R168" s="12">
        <v>16.835061797030576</v>
      </c>
      <c r="S168" s="12">
        <v>16.094720640477547</v>
      </c>
      <c r="T168" s="16">
        <v>0.43447720984484156</v>
      </c>
      <c r="U168" s="12">
        <v>16.006195382619126</v>
      </c>
    </row>
    <row r="169" spans="1:21" x14ac:dyDescent="0.25">
      <c r="A169" s="4">
        <v>31017</v>
      </c>
      <c r="B169" s="9">
        <v>32.715145305520508</v>
      </c>
      <c r="C169" s="9">
        <v>0.61017336182544679</v>
      </c>
      <c r="D169" s="5">
        <f t="shared" si="5"/>
        <v>12</v>
      </c>
      <c r="Q169" s="4">
        <v>31017</v>
      </c>
      <c r="R169" s="12">
        <v>1.1119444071058953</v>
      </c>
      <c r="S169" s="12">
        <v>1.9796118049864866</v>
      </c>
      <c r="T169" s="16">
        <v>8.6673856667092972E-2</v>
      </c>
      <c r="U169" s="12">
        <v>3.1098454224997694</v>
      </c>
    </row>
    <row r="170" spans="1:21" x14ac:dyDescent="0.25">
      <c r="A170" s="4">
        <v>31048</v>
      </c>
      <c r="B170" s="9">
        <v>4.4280575693723474</v>
      </c>
      <c r="C170" s="9">
        <v>7.9999969114744118</v>
      </c>
      <c r="D170" s="5">
        <f t="shared" si="5"/>
        <v>1</v>
      </c>
      <c r="Q170" s="4">
        <v>31048</v>
      </c>
      <c r="R170" s="12">
        <v>13.704799932840814</v>
      </c>
      <c r="S170" s="12">
        <v>4.6545417287224735</v>
      </c>
      <c r="T170" s="16">
        <v>0.3832988352729475</v>
      </c>
      <c r="U170" s="12">
        <v>5.1935431122658127</v>
      </c>
    </row>
    <row r="171" spans="1:21" x14ac:dyDescent="0.25">
      <c r="A171" s="4">
        <v>31079</v>
      </c>
      <c r="B171" s="9">
        <v>16.509605725544006</v>
      </c>
      <c r="C171" s="9">
        <v>6.7402929992719658</v>
      </c>
      <c r="D171" s="5">
        <f t="shared" si="5"/>
        <v>2</v>
      </c>
      <c r="Q171" s="4">
        <v>31079</v>
      </c>
      <c r="R171" s="12">
        <v>9.6588944562205974</v>
      </c>
      <c r="S171" s="12">
        <v>11.790353623488576</v>
      </c>
      <c r="T171" s="16">
        <v>0.28371728302879667</v>
      </c>
      <c r="U171" s="12">
        <v>11.435491711721275</v>
      </c>
    </row>
    <row r="172" spans="1:21" x14ac:dyDescent="0.25">
      <c r="A172" s="4">
        <v>31107</v>
      </c>
      <c r="B172" s="9">
        <v>37.384354722194168</v>
      </c>
      <c r="C172" s="9">
        <v>1.1644748238020601</v>
      </c>
      <c r="D172" s="5">
        <f t="shared" si="5"/>
        <v>3</v>
      </c>
      <c r="Q172" s="4">
        <v>31107</v>
      </c>
      <c r="R172" s="12">
        <v>1.3171412984220097</v>
      </c>
      <c r="S172" s="12">
        <v>0.30587099859305639</v>
      </c>
      <c r="T172" s="16">
        <v>9.5463256150472298E-3</v>
      </c>
      <c r="U172" s="12">
        <v>0.10338059780244922</v>
      </c>
    </row>
    <row r="173" spans="1:21" x14ac:dyDescent="0.25">
      <c r="A173" s="4">
        <v>31138</v>
      </c>
      <c r="B173" s="9">
        <v>10.719747746120509</v>
      </c>
      <c r="C173" s="9">
        <v>14.866453233395882</v>
      </c>
      <c r="D173" s="5">
        <f t="shared" si="5"/>
        <v>4</v>
      </c>
      <c r="Q173" s="4">
        <v>31138</v>
      </c>
      <c r="R173" s="12">
        <v>11.947870209283247</v>
      </c>
      <c r="S173" s="12">
        <v>6.7916863282490496</v>
      </c>
      <c r="T173" s="16">
        <v>0.33292665415845085</v>
      </c>
      <c r="U173" s="12">
        <v>7.7874687940438792</v>
      </c>
    </row>
    <row r="174" spans="1:21" x14ac:dyDescent="0.25">
      <c r="A174" s="4">
        <v>31168</v>
      </c>
      <c r="B174" s="9">
        <v>9.5883445930632334</v>
      </c>
      <c r="C174" s="9">
        <v>13.60014132265375</v>
      </c>
      <c r="D174" s="5">
        <f t="shared" si="5"/>
        <v>5</v>
      </c>
      <c r="Q174" s="4">
        <v>31168</v>
      </c>
      <c r="R174" s="12">
        <v>6.0227601794110974</v>
      </c>
      <c r="S174" s="12">
        <v>2.7694145085624848</v>
      </c>
      <c r="T174" s="16">
        <v>0.1751948089781607</v>
      </c>
      <c r="U174" s="12">
        <v>2.4672599351362536</v>
      </c>
    </row>
    <row r="175" spans="1:21" x14ac:dyDescent="0.25">
      <c r="A175" s="4">
        <v>31199</v>
      </c>
      <c r="B175" s="9">
        <v>2.1900881107951107</v>
      </c>
      <c r="C175" s="9">
        <v>0.19693267276823262</v>
      </c>
      <c r="D175" s="5">
        <f t="shared" si="5"/>
        <v>6</v>
      </c>
      <c r="Q175" s="4">
        <v>31199</v>
      </c>
      <c r="R175" s="12">
        <v>7.0927828846715127E-2</v>
      </c>
      <c r="S175" s="12">
        <v>9.3949163545290339E-4</v>
      </c>
      <c r="T175" s="16">
        <v>1.5016540151449832E-3</v>
      </c>
      <c r="U175" s="12">
        <v>1.6837710820653509E-5</v>
      </c>
    </row>
    <row r="176" spans="1:21" x14ac:dyDescent="0.25">
      <c r="A176" s="4">
        <v>31229</v>
      </c>
      <c r="B176" s="9">
        <v>5.4322088940410351</v>
      </c>
      <c r="C176" s="9">
        <v>24.513989024868444</v>
      </c>
      <c r="D176" s="5">
        <f t="shared" si="5"/>
        <v>7</v>
      </c>
      <c r="Q176" s="4">
        <v>31229</v>
      </c>
      <c r="R176" s="12">
        <v>4.9823872118018402</v>
      </c>
      <c r="S176" s="12">
        <v>1.8207298236549871</v>
      </c>
      <c r="T176" s="16">
        <v>0.25912997533877613</v>
      </c>
      <c r="U176" s="12">
        <v>2.0627340146210589</v>
      </c>
    </row>
    <row r="177" spans="1:21" x14ac:dyDescent="0.25">
      <c r="A177" s="4">
        <v>31260</v>
      </c>
      <c r="B177" s="9">
        <v>2.0964448283366797</v>
      </c>
      <c r="C177" s="9">
        <v>39.489368475981337</v>
      </c>
      <c r="D177" s="5">
        <f t="shared" si="5"/>
        <v>8</v>
      </c>
      <c r="Q177" s="4">
        <v>31260</v>
      </c>
      <c r="R177" s="12">
        <v>13.573503136055397</v>
      </c>
      <c r="S177" s="12">
        <v>12.933981894059727</v>
      </c>
      <c r="T177" s="16">
        <v>0.78212447836515953</v>
      </c>
      <c r="U177" s="12">
        <v>13.96256057960345</v>
      </c>
    </row>
    <row r="178" spans="1:21" x14ac:dyDescent="0.25">
      <c r="A178" s="4">
        <v>31291</v>
      </c>
      <c r="B178" s="9">
        <v>14.492674713168842</v>
      </c>
      <c r="C178" s="9">
        <v>16.69958919709099</v>
      </c>
      <c r="D178" s="5">
        <f t="shared" si="5"/>
        <v>9</v>
      </c>
      <c r="Q178" s="4">
        <v>31291</v>
      </c>
      <c r="R178" s="12">
        <v>6.7364757554128918</v>
      </c>
      <c r="S178" s="12">
        <v>3.0113572532326982</v>
      </c>
      <c r="T178" s="16">
        <v>0.39819596850592176</v>
      </c>
      <c r="U178" s="12">
        <v>1.8277364841642538</v>
      </c>
    </row>
    <row r="179" spans="1:21" x14ac:dyDescent="0.25">
      <c r="A179" s="4">
        <v>31321</v>
      </c>
      <c r="B179" s="9">
        <v>32.992193902119723</v>
      </c>
      <c r="C179" s="9">
        <v>19.664920460314015</v>
      </c>
      <c r="D179" s="5">
        <f t="shared" si="5"/>
        <v>10</v>
      </c>
      <c r="Q179" s="4">
        <v>31321</v>
      </c>
      <c r="R179" s="12">
        <v>24.416032141271113</v>
      </c>
      <c r="S179" s="12">
        <v>23.752054378323965</v>
      </c>
      <c r="T179" s="16">
        <v>0.56126484538575672</v>
      </c>
      <c r="U179" s="12">
        <v>23.818228398180558</v>
      </c>
    </row>
    <row r="180" spans="1:21" x14ac:dyDescent="0.25">
      <c r="A180" s="4">
        <v>31352</v>
      </c>
      <c r="B180" s="9">
        <v>82.298773437031699</v>
      </c>
      <c r="C180" s="9">
        <v>51.951830850902951</v>
      </c>
      <c r="D180" s="5">
        <f t="shared" si="5"/>
        <v>11</v>
      </c>
      <c r="Q180" s="4">
        <v>31352</v>
      </c>
      <c r="R180" s="12">
        <v>53.475552208208654</v>
      </c>
      <c r="S180" s="12">
        <v>53.33740471860056</v>
      </c>
      <c r="T180" s="16">
        <v>0.78513767543172375</v>
      </c>
      <c r="U180" s="12">
        <v>53.539173167512871</v>
      </c>
    </row>
    <row r="181" spans="1:21" x14ac:dyDescent="0.25">
      <c r="A181" s="4">
        <v>31382</v>
      </c>
      <c r="B181" s="9">
        <v>7.6633241414857336</v>
      </c>
      <c r="C181" s="9">
        <v>13.396564398233748</v>
      </c>
      <c r="D181" s="5">
        <f t="shared" si="5"/>
        <v>12</v>
      </c>
      <c r="Q181" s="4">
        <v>31382</v>
      </c>
      <c r="R181" s="12">
        <v>24.413118941287635</v>
      </c>
      <c r="S181" s="12">
        <v>26.249179135261816</v>
      </c>
      <c r="T181" s="16">
        <v>0.63256550290558444</v>
      </c>
      <c r="U181" s="12">
        <v>26.83240444856974</v>
      </c>
    </row>
    <row r="182" spans="1:21" x14ac:dyDescent="0.25">
      <c r="A182" s="4">
        <v>31413</v>
      </c>
      <c r="B182" s="9">
        <v>17.376480685776716</v>
      </c>
      <c r="C182" s="9">
        <v>12.390572283047156</v>
      </c>
      <c r="D182" s="5">
        <f t="shared" si="5"/>
        <v>1</v>
      </c>
      <c r="Q182" s="4">
        <v>31413</v>
      </c>
      <c r="R182" s="12">
        <v>21.226297468815847</v>
      </c>
      <c r="S182" s="12">
        <v>10.386522617668012</v>
      </c>
      <c r="T182" s="16">
        <v>0.53481753018809586</v>
      </c>
      <c r="U182" s="12">
        <v>12.408431364124443</v>
      </c>
    </row>
    <row r="183" spans="1:21" x14ac:dyDescent="0.25">
      <c r="A183" s="4">
        <v>31444</v>
      </c>
      <c r="B183" s="9">
        <v>38.145523854171984</v>
      </c>
      <c r="C183" s="9">
        <v>71.261284012660568</v>
      </c>
      <c r="D183" s="5">
        <f t="shared" si="5"/>
        <v>2</v>
      </c>
      <c r="Q183" s="4">
        <v>31444</v>
      </c>
      <c r="R183" s="12">
        <v>102.11799712080676</v>
      </c>
      <c r="S183" s="12">
        <v>91.77399355148971</v>
      </c>
      <c r="T183" s="16">
        <v>0.96988279387832277</v>
      </c>
      <c r="U183" s="12">
        <v>93.957746918809235</v>
      </c>
    </row>
    <row r="184" spans="1:21" x14ac:dyDescent="0.25">
      <c r="A184" s="4">
        <v>31472</v>
      </c>
      <c r="B184" s="9">
        <v>44.304175560719479</v>
      </c>
      <c r="C184" s="9">
        <v>29.094825329859454</v>
      </c>
      <c r="D184" s="5">
        <f t="shared" si="5"/>
        <v>3</v>
      </c>
      <c r="Q184" s="4">
        <v>31472</v>
      </c>
      <c r="R184" s="12">
        <v>32.909252505098998</v>
      </c>
      <c r="S184" s="12">
        <v>32.301915151491485</v>
      </c>
      <c r="T184" s="16">
        <v>0.75029516386218897</v>
      </c>
      <c r="U184" s="12">
        <v>33.555861559989474</v>
      </c>
    </row>
    <row r="185" spans="1:21" x14ac:dyDescent="0.25">
      <c r="A185" s="4">
        <v>31503</v>
      </c>
      <c r="B185" s="9">
        <v>4.9571712381469144</v>
      </c>
      <c r="C185" s="9">
        <v>16.3010043563539</v>
      </c>
      <c r="D185" s="5">
        <f t="shared" si="5"/>
        <v>4</v>
      </c>
      <c r="Q185" s="4">
        <v>31503</v>
      </c>
      <c r="R185" s="12">
        <v>13.100790166491409</v>
      </c>
      <c r="S185" s="12">
        <v>7.8797935088223499</v>
      </c>
      <c r="T185" s="16">
        <v>0.37211146390781524</v>
      </c>
      <c r="U185" s="12">
        <v>9.0385966887948079</v>
      </c>
    </row>
    <row r="186" spans="1:21" x14ac:dyDescent="0.25">
      <c r="A186" s="4">
        <v>31533</v>
      </c>
      <c r="B186" s="9">
        <v>14.315070802378051</v>
      </c>
      <c r="C186" s="9">
        <v>57.420369182934273</v>
      </c>
      <c r="D186" s="5">
        <f t="shared" si="5"/>
        <v>5</v>
      </c>
      <c r="Q186" s="4">
        <v>31533</v>
      </c>
      <c r="R186" s="12">
        <v>25.428347014748535</v>
      </c>
      <c r="S186" s="12">
        <v>28.686623320457969</v>
      </c>
      <c r="T186" s="16">
        <v>0.85232555916269737</v>
      </c>
      <c r="U186" s="12">
        <v>29.604927642890274</v>
      </c>
    </row>
    <row r="187" spans="1:21" x14ac:dyDescent="0.25">
      <c r="A187" s="4">
        <v>31564</v>
      </c>
      <c r="B187" s="9">
        <v>5.1777908179582113</v>
      </c>
      <c r="C187" s="9">
        <v>59.732550540469006</v>
      </c>
      <c r="D187" s="5">
        <f t="shared" si="5"/>
        <v>6</v>
      </c>
      <c r="Q187" s="4">
        <v>31564</v>
      </c>
      <c r="R187" s="12">
        <v>21.513444477028255</v>
      </c>
      <c r="S187" s="12">
        <v>24.06422681732078</v>
      </c>
      <c r="T187" s="16">
        <v>0.86901929056544547</v>
      </c>
      <c r="U187" s="12">
        <v>25.708430984781824</v>
      </c>
    </row>
    <row r="188" spans="1:21" x14ac:dyDescent="0.25">
      <c r="A188" s="4">
        <v>31594</v>
      </c>
      <c r="B188" s="9">
        <v>10.363824694099574</v>
      </c>
      <c r="C188" s="9">
        <v>53.320011773933864</v>
      </c>
      <c r="D188" s="5">
        <f t="shared" si="5"/>
        <v>7</v>
      </c>
      <c r="Q188" s="4">
        <v>31594</v>
      </c>
      <c r="R188" s="12">
        <v>10.837116086087393</v>
      </c>
      <c r="S188" s="12">
        <v>8.8843041021802929</v>
      </c>
      <c r="T188" s="16">
        <v>0.6764769265228443</v>
      </c>
      <c r="U188" s="12">
        <v>10.112426027949237</v>
      </c>
    </row>
    <row r="189" spans="1:21" x14ac:dyDescent="0.25">
      <c r="A189" s="4">
        <v>31625</v>
      </c>
      <c r="B189" s="9">
        <v>2.0993508695770866</v>
      </c>
      <c r="C189" s="9">
        <v>12.210235860799378</v>
      </c>
      <c r="D189" s="5">
        <f t="shared" si="5"/>
        <v>8</v>
      </c>
      <c r="Q189" s="4">
        <v>31625</v>
      </c>
      <c r="R189" s="12">
        <v>4.1969694919112728</v>
      </c>
      <c r="S189" s="12">
        <v>2.0557684680375576</v>
      </c>
      <c r="T189" s="16">
        <v>0.31849076711877861</v>
      </c>
      <c r="U189" s="12">
        <v>2.4688242311604354</v>
      </c>
    </row>
    <row r="190" spans="1:21" x14ac:dyDescent="0.25">
      <c r="A190" s="4">
        <v>31656</v>
      </c>
      <c r="B190" s="9">
        <v>0.93986684019949518</v>
      </c>
      <c r="C190" s="9">
        <v>67.450382396937172</v>
      </c>
      <c r="D190" s="5">
        <f t="shared" si="5"/>
        <v>9</v>
      </c>
      <c r="Q190" s="4">
        <v>31656</v>
      </c>
      <c r="R190" s="12">
        <v>27.208924743456969</v>
      </c>
      <c r="S190" s="12">
        <v>28.237972294501088</v>
      </c>
      <c r="T190" s="16">
        <v>0.85445908340652077</v>
      </c>
      <c r="U190" s="12">
        <v>30.038299031929487</v>
      </c>
    </row>
    <row r="191" spans="1:21" x14ac:dyDescent="0.25">
      <c r="A191" s="4">
        <v>31686</v>
      </c>
      <c r="B191" s="9">
        <v>22.420388969980056</v>
      </c>
      <c r="C191" s="9">
        <v>4.6394599806783949</v>
      </c>
      <c r="D191" s="5">
        <f t="shared" si="5"/>
        <v>10</v>
      </c>
      <c r="Q191" s="4">
        <v>31686</v>
      </c>
      <c r="R191" s="12">
        <v>5.7603692949071759</v>
      </c>
      <c r="S191" s="12">
        <v>5.1791312907971632</v>
      </c>
      <c r="T191" s="16">
        <v>0.1437751400304699</v>
      </c>
      <c r="U191" s="12">
        <v>5.0329966896135607</v>
      </c>
    </row>
    <row r="192" spans="1:21" x14ac:dyDescent="0.25">
      <c r="A192" s="4">
        <v>31717</v>
      </c>
      <c r="B192" s="9">
        <v>3.6263204273530363</v>
      </c>
      <c r="C192" s="9">
        <v>3.1626718339511255</v>
      </c>
      <c r="D192" s="5">
        <f t="shared" si="5"/>
        <v>11</v>
      </c>
      <c r="Q192" s="4">
        <v>31717</v>
      </c>
      <c r="R192" s="12">
        <v>3.2554314256846815</v>
      </c>
      <c r="S192" s="12">
        <v>2.9302650510607178</v>
      </c>
      <c r="T192" s="16">
        <v>0.1378482298830658</v>
      </c>
      <c r="U192" s="12">
        <v>2.8080951148731796</v>
      </c>
    </row>
    <row r="193" spans="1:21" x14ac:dyDescent="0.25">
      <c r="A193" s="4">
        <v>31747</v>
      </c>
      <c r="B193" s="9">
        <v>28.451699263726987</v>
      </c>
      <c r="C193" s="9">
        <v>4.8870819320459447</v>
      </c>
      <c r="D193" s="5">
        <f t="shared" si="5"/>
        <v>12</v>
      </c>
      <c r="Q193" s="4">
        <v>31747</v>
      </c>
      <c r="R193" s="12">
        <v>8.9059335614872683</v>
      </c>
      <c r="S193" s="12">
        <v>11.289263414846252</v>
      </c>
      <c r="T193" s="16">
        <v>0.35852800262808598</v>
      </c>
      <c r="U193" s="12">
        <v>12.791368478805243</v>
      </c>
    </row>
    <row r="194" spans="1:21" x14ac:dyDescent="0.25">
      <c r="A194" s="4">
        <v>31778</v>
      </c>
      <c r="B194" s="9">
        <v>2.7360033695119776</v>
      </c>
      <c r="C194" s="9">
        <v>43.224334781435267</v>
      </c>
      <c r="D194" s="5">
        <f t="shared" si="5"/>
        <v>1</v>
      </c>
      <c r="Q194" s="4">
        <v>31778</v>
      </c>
      <c r="R194" s="12">
        <v>74.047636138465222</v>
      </c>
      <c r="S194" s="12">
        <v>102.81080981892453</v>
      </c>
      <c r="T194" s="16">
        <v>0.93933365932065949</v>
      </c>
      <c r="U194" s="12">
        <v>100.77597525104973</v>
      </c>
    </row>
    <row r="195" spans="1:21" x14ac:dyDescent="0.25">
      <c r="A195" s="4">
        <v>31809</v>
      </c>
      <c r="B195" s="9">
        <v>38.917634475696019</v>
      </c>
      <c r="C195" s="9">
        <v>42.002247899555222</v>
      </c>
      <c r="D195" s="5">
        <f t="shared" ref="D195:D258" si="6">MONTH(A195)</f>
        <v>2</v>
      </c>
      <c r="Q195" s="4">
        <v>31809</v>
      </c>
      <c r="R195" s="12">
        <v>60.189561407736605</v>
      </c>
      <c r="S195" s="12">
        <v>57.935939007229202</v>
      </c>
      <c r="T195" s="16">
        <v>0.87342133289433788</v>
      </c>
      <c r="U195" s="12">
        <v>57.749233421416484</v>
      </c>
    </row>
    <row r="196" spans="1:21" x14ac:dyDescent="0.25">
      <c r="A196" s="4">
        <v>31837</v>
      </c>
      <c r="B196" s="9">
        <v>94.115672892000376</v>
      </c>
      <c r="C196" s="9">
        <v>3.5036941082031419</v>
      </c>
      <c r="D196" s="5">
        <f t="shared" si="6"/>
        <v>3</v>
      </c>
      <c r="Q196" s="4">
        <v>31837</v>
      </c>
      <c r="R196" s="12">
        <v>3.963039915182121</v>
      </c>
      <c r="S196" s="12">
        <v>1.5073060862032259</v>
      </c>
      <c r="T196" s="16">
        <v>5.8231055577876244E-2</v>
      </c>
      <c r="U196" s="12">
        <v>0.91339327129957315</v>
      </c>
    </row>
    <row r="197" spans="1:21" x14ac:dyDescent="0.25">
      <c r="A197" s="4">
        <v>31868</v>
      </c>
      <c r="B197" s="9">
        <v>31.752845194126909</v>
      </c>
      <c r="C197" s="9">
        <v>32.819775258950735</v>
      </c>
      <c r="D197" s="5">
        <f t="shared" si="6"/>
        <v>4</v>
      </c>
      <c r="Q197" s="4">
        <v>31868</v>
      </c>
      <c r="R197" s="12">
        <v>26.376594937312902</v>
      </c>
      <c r="S197" s="12">
        <v>24.366035972649243</v>
      </c>
      <c r="T197" s="16">
        <v>0.72068311223027526</v>
      </c>
      <c r="U197" s="12">
        <v>26.312090722869236</v>
      </c>
    </row>
    <row r="198" spans="1:21" x14ac:dyDescent="0.25">
      <c r="A198" s="4">
        <v>31898</v>
      </c>
      <c r="B198" s="9">
        <v>7.1276747968949747</v>
      </c>
      <c r="C198" s="9">
        <v>3.8169150602358153</v>
      </c>
      <c r="D198" s="5">
        <f t="shared" si="6"/>
        <v>5</v>
      </c>
      <c r="Q198" s="4">
        <v>31898</v>
      </c>
      <c r="R198" s="12">
        <v>1.6903033202082296</v>
      </c>
      <c r="S198" s="12">
        <v>0.35213246677044768</v>
      </c>
      <c r="T198" s="16">
        <v>1.6978306970230735E-2</v>
      </c>
      <c r="U198" s="12">
        <v>0.16569500842135618</v>
      </c>
    </row>
    <row r="199" spans="1:21" x14ac:dyDescent="0.25">
      <c r="A199" s="4">
        <v>31929</v>
      </c>
      <c r="B199" s="9">
        <v>1.5549833127668655</v>
      </c>
      <c r="C199" s="9">
        <v>33.403466093256952</v>
      </c>
      <c r="D199" s="5">
        <f t="shared" si="6"/>
        <v>6</v>
      </c>
      <c r="Q199" s="4">
        <v>31929</v>
      </c>
      <c r="R199" s="12">
        <v>12.030686897434748</v>
      </c>
      <c r="S199" s="12">
        <v>8.5705777198480071</v>
      </c>
      <c r="T199" s="16">
        <v>0.64683633748567515</v>
      </c>
      <c r="U199" s="12">
        <v>9.3479094758293204</v>
      </c>
    </row>
    <row r="200" spans="1:21" x14ac:dyDescent="0.25">
      <c r="A200" s="4">
        <v>31959</v>
      </c>
      <c r="B200" s="9">
        <v>2.1838458153827593</v>
      </c>
      <c r="C200" s="9">
        <v>85.462240773244986</v>
      </c>
      <c r="D200" s="5">
        <f t="shared" si="6"/>
        <v>7</v>
      </c>
      <c r="Q200" s="4">
        <v>31959</v>
      </c>
      <c r="R200" s="12">
        <v>17.369917849297508</v>
      </c>
      <c r="S200" s="12">
        <v>23.256381788571183</v>
      </c>
      <c r="T200" s="16">
        <v>0.9002399123394309</v>
      </c>
      <c r="U200" s="12">
        <v>22.864275700687354</v>
      </c>
    </row>
    <row r="201" spans="1:21" x14ac:dyDescent="0.25">
      <c r="A201" s="4">
        <v>31990</v>
      </c>
      <c r="B201" s="9">
        <v>14.301635547784395</v>
      </c>
      <c r="C201" s="9">
        <v>38.569858067292074</v>
      </c>
      <c r="D201" s="5">
        <f t="shared" si="6"/>
        <v>8</v>
      </c>
      <c r="Q201" s="4">
        <v>31990</v>
      </c>
      <c r="R201" s="12">
        <v>13.25744395613788</v>
      </c>
      <c r="S201" s="12">
        <v>12.465194851882549</v>
      </c>
      <c r="T201" s="16">
        <v>0.77312692677215478</v>
      </c>
      <c r="U201" s="12">
        <v>13.518685054370005</v>
      </c>
    </row>
    <row r="202" spans="1:21" x14ac:dyDescent="0.25">
      <c r="A202" s="4">
        <v>32021</v>
      </c>
      <c r="B202" s="9">
        <v>10.775915844807804</v>
      </c>
      <c r="C202" s="9">
        <v>1.1712218055068941</v>
      </c>
      <c r="D202" s="5">
        <f t="shared" si="6"/>
        <v>9</v>
      </c>
      <c r="Q202" s="4">
        <v>32021</v>
      </c>
      <c r="R202" s="12">
        <v>0.47246116080403344</v>
      </c>
      <c r="S202" s="12">
        <v>4.2501104791026277E-2</v>
      </c>
      <c r="T202" s="16">
        <v>4.1316733203814238E-2</v>
      </c>
      <c r="U202" s="12">
        <v>1.6103998393814805E-3</v>
      </c>
    </row>
    <row r="203" spans="1:21" x14ac:dyDescent="0.25">
      <c r="A203" s="4">
        <v>32051</v>
      </c>
      <c r="B203" s="9">
        <v>6.2114102013894072</v>
      </c>
      <c r="C203" s="9">
        <v>63.83332573676234</v>
      </c>
      <c r="D203" s="5">
        <f t="shared" si="6"/>
        <v>10</v>
      </c>
      <c r="Q203" s="4">
        <v>32051</v>
      </c>
      <c r="R203" s="12">
        <v>79.255674388226353</v>
      </c>
      <c r="S203" s="12">
        <v>82.215644025772974</v>
      </c>
      <c r="T203" s="16">
        <v>0.95134484895126858</v>
      </c>
      <c r="U203" s="12">
        <v>82.189379911283368</v>
      </c>
    </row>
    <row r="204" spans="1:21" x14ac:dyDescent="0.25">
      <c r="A204" s="4">
        <v>32082</v>
      </c>
      <c r="B204" s="9">
        <v>12.884420909560083</v>
      </c>
      <c r="C204" s="9">
        <v>3.1927111804391708</v>
      </c>
      <c r="D204" s="5">
        <f t="shared" si="6"/>
        <v>11</v>
      </c>
      <c r="Q204" s="4">
        <v>32082</v>
      </c>
      <c r="R204" s="12">
        <v>3.2863518112632395</v>
      </c>
      <c r="S204" s="12">
        <v>2.9591226782111373</v>
      </c>
      <c r="T204" s="16">
        <v>0.13882206275086909</v>
      </c>
      <c r="U204" s="12">
        <v>2.8365121740497687</v>
      </c>
    </row>
    <row r="205" spans="1:21" x14ac:dyDescent="0.25">
      <c r="A205" s="4">
        <v>32112</v>
      </c>
      <c r="B205" s="9">
        <v>33.348670773655755</v>
      </c>
      <c r="C205" s="9">
        <v>12.331246835083196</v>
      </c>
      <c r="D205" s="5">
        <f t="shared" si="6"/>
        <v>12</v>
      </c>
      <c r="Q205" s="4">
        <v>32112</v>
      </c>
      <c r="R205" s="12">
        <v>22.471746242563022</v>
      </c>
      <c r="S205" s="12">
        <v>24.490858940972199</v>
      </c>
      <c r="T205" s="16">
        <v>0.60746328694035878</v>
      </c>
      <c r="U205" s="12">
        <v>25.200286232491958</v>
      </c>
    </row>
    <row r="206" spans="1:21" x14ac:dyDescent="0.25">
      <c r="A206" s="4">
        <v>32143</v>
      </c>
      <c r="B206" s="9">
        <v>31.497020735637435</v>
      </c>
      <c r="C206" s="9">
        <v>1.7257336466242217</v>
      </c>
      <c r="D206" s="5">
        <f t="shared" si="6"/>
        <v>1</v>
      </c>
      <c r="Q206" s="4">
        <v>32143</v>
      </c>
      <c r="R206" s="12">
        <v>2.9563554368920224</v>
      </c>
      <c r="S206" s="12">
        <v>0.27910196893378991</v>
      </c>
      <c r="T206" s="16">
        <v>9.0559396711490478E-2</v>
      </c>
      <c r="U206" s="12">
        <v>0.15694599551036564</v>
      </c>
    </row>
    <row r="207" spans="1:21" x14ac:dyDescent="0.25">
      <c r="A207" s="4">
        <v>32174</v>
      </c>
      <c r="B207" s="9">
        <v>16.368258741403963</v>
      </c>
      <c r="C207" s="9">
        <v>14.609119189597628</v>
      </c>
      <c r="D207" s="5">
        <f t="shared" si="6"/>
        <v>2</v>
      </c>
      <c r="Q207" s="4">
        <v>32174</v>
      </c>
      <c r="R207" s="12">
        <v>20.93498611498222</v>
      </c>
      <c r="S207" s="12">
        <v>23.112765058847213</v>
      </c>
      <c r="T207" s="16">
        <v>0.51379866920332928</v>
      </c>
      <c r="U207" s="12">
        <v>22.415064494851872</v>
      </c>
    </row>
    <row r="208" spans="1:21" x14ac:dyDescent="0.25">
      <c r="A208" s="4">
        <v>32203</v>
      </c>
      <c r="B208" s="9">
        <v>3.5516580824657558</v>
      </c>
      <c r="C208" s="9">
        <v>18.614251543647086</v>
      </c>
      <c r="D208" s="5">
        <f t="shared" si="6"/>
        <v>3</v>
      </c>
      <c r="Q208" s="4">
        <v>32203</v>
      </c>
      <c r="R208" s="12">
        <v>21.054641067551987</v>
      </c>
      <c r="S208" s="12">
        <v>16.919265393761794</v>
      </c>
      <c r="T208" s="16">
        <v>0.53028321970008874</v>
      </c>
      <c r="U208" s="12">
        <v>17.092505632077422</v>
      </c>
    </row>
    <row r="209" spans="1:21" x14ac:dyDescent="0.25">
      <c r="A209" s="4">
        <v>32234</v>
      </c>
      <c r="B209" s="9">
        <v>15.286477506228685</v>
      </c>
      <c r="C209" s="9">
        <v>0.43353844494202987</v>
      </c>
      <c r="D209" s="5">
        <f t="shared" si="6"/>
        <v>4</v>
      </c>
      <c r="Q209" s="4">
        <v>32234</v>
      </c>
      <c r="R209" s="12">
        <v>0.34842615044628567</v>
      </c>
      <c r="S209" s="12">
        <v>2.2672788750331754E-2</v>
      </c>
      <c r="T209" s="16">
        <v>8.8379412352909616E-4</v>
      </c>
      <c r="U209" s="12">
        <v>9.7582961183601599E-3</v>
      </c>
    </row>
    <row r="210" spans="1:21" x14ac:dyDescent="0.25">
      <c r="A210" s="4">
        <v>32264</v>
      </c>
      <c r="B210" s="9">
        <v>3.7512191322400117</v>
      </c>
      <c r="C210" s="9">
        <v>2.5310498914820916</v>
      </c>
      <c r="D210" s="5">
        <f t="shared" si="6"/>
        <v>5</v>
      </c>
      <c r="Q210" s="4">
        <v>32264</v>
      </c>
      <c r="R210" s="12">
        <v>1.1208638305198602</v>
      </c>
      <c r="S210" s="12">
        <v>0.18076911784649966</v>
      </c>
      <c r="T210" s="16">
        <v>7.4032923225520993E-3</v>
      </c>
      <c r="U210" s="12">
        <v>6.4817600098902972E-2</v>
      </c>
    </row>
    <row r="211" spans="1:21" x14ac:dyDescent="0.25">
      <c r="A211" s="4">
        <v>32295</v>
      </c>
      <c r="B211" s="9">
        <v>9.5310871399674788</v>
      </c>
      <c r="C211" s="9">
        <v>1.728717814220315</v>
      </c>
      <c r="D211" s="5">
        <f t="shared" si="6"/>
        <v>6</v>
      </c>
      <c r="Q211" s="4">
        <v>32295</v>
      </c>
      <c r="R211" s="12">
        <v>0.6226199011455501</v>
      </c>
      <c r="S211" s="12">
        <v>4.4527110745610145E-2</v>
      </c>
      <c r="T211" s="16">
        <v>2.5671739906243076E-2</v>
      </c>
      <c r="U211" s="12">
        <v>7.3049399292329361E-3</v>
      </c>
    </row>
    <row r="212" spans="1:21" x14ac:dyDescent="0.25">
      <c r="A212" s="4">
        <v>32325</v>
      </c>
      <c r="B212" s="9">
        <v>1.3307031301652605</v>
      </c>
      <c r="C212" s="9">
        <v>52.138770270464427</v>
      </c>
      <c r="D212" s="5">
        <f t="shared" si="6"/>
        <v>7</v>
      </c>
      <c r="Q212" s="4">
        <v>32325</v>
      </c>
      <c r="R212" s="12">
        <v>10.597032656378536</v>
      </c>
      <c r="S212" s="12">
        <v>8.4874544179269016</v>
      </c>
      <c r="T212" s="16">
        <v>0.66347825512330416</v>
      </c>
      <c r="U212" s="12">
        <v>9.702689886864599</v>
      </c>
    </row>
    <row r="213" spans="1:21" x14ac:dyDescent="0.25">
      <c r="A213" s="4">
        <v>32356</v>
      </c>
      <c r="B213" s="9">
        <v>1.397423297938257</v>
      </c>
      <c r="C213" s="9">
        <v>11.714506559488669</v>
      </c>
      <c r="D213" s="5">
        <f t="shared" si="6"/>
        <v>8</v>
      </c>
      <c r="Q213" s="4">
        <v>32356</v>
      </c>
      <c r="R213" s="12">
        <v>4.0265746872927055</v>
      </c>
      <c r="S213" s="12">
        <v>1.9265006941390888</v>
      </c>
      <c r="T213" s="16">
        <v>0.30559506486231353</v>
      </c>
      <c r="U213" s="12">
        <v>2.3118572080429254</v>
      </c>
    </row>
    <row r="214" spans="1:21" x14ac:dyDescent="0.25">
      <c r="A214" s="4">
        <v>32387</v>
      </c>
      <c r="B214" s="9">
        <v>5.8508545029712691</v>
      </c>
      <c r="C214" s="9">
        <v>18.134037866714628</v>
      </c>
      <c r="D214" s="5">
        <f t="shared" si="6"/>
        <v>9</v>
      </c>
      <c r="Q214" s="4">
        <v>32387</v>
      </c>
      <c r="R214" s="12">
        <v>7.3151204496780178</v>
      </c>
      <c r="S214" s="12">
        <v>3.4367173143195626</v>
      </c>
      <c r="T214" s="16">
        <v>0.422507298544197</v>
      </c>
      <c r="U214" s="12">
        <v>2.2096611272890976</v>
      </c>
    </row>
    <row r="215" spans="1:21" x14ac:dyDescent="0.25">
      <c r="A215" s="4">
        <v>32417</v>
      </c>
      <c r="B215" s="9">
        <v>16.889914214532887</v>
      </c>
      <c r="C215" s="9">
        <v>26.054468451013527</v>
      </c>
      <c r="D215" s="5">
        <f t="shared" si="6"/>
        <v>10</v>
      </c>
      <c r="Q215" s="4">
        <v>32417</v>
      </c>
      <c r="R215" s="12">
        <v>32.349316663013965</v>
      </c>
      <c r="S215" s="12">
        <v>31.956375994962642</v>
      </c>
      <c r="T215" s="16">
        <v>0.67692423749904507</v>
      </c>
      <c r="U215" s="12">
        <v>32.101245692532622</v>
      </c>
    </row>
    <row r="216" spans="1:21" x14ac:dyDescent="0.25">
      <c r="A216" s="4">
        <v>32448</v>
      </c>
      <c r="B216" s="9">
        <v>96.33529728138366</v>
      </c>
      <c r="C216" s="9">
        <v>86.156186375604776</v>
      </c>
      <c r="D216" s="5">
        <f t="shared" si="6"/>
        <v>11</v>
      </c>
      <c r="Q216" s="4">
        <v>32448</v>
      </c>
      <c r="R216" s="12">
        <v>88.683104466735685</v>
      </c>
      <c r="S216" s="12">
        <v>90.110232689327376</v>
      </c>
      <c r="T216" s="16">
        <v>0.91023391522182595</v>
      </c>
      <c r="U216" s="12">
        <v>90.323963697568601</v>
      </c>
    </row>
    <row r="217" spans="1:21" x14ac:dyDescent="0.25">
      <c r="A217" s="4">
        <v>32478</v>
      </c>
      <c r="B217" s="9">
        <v>6.0500617112395618</v>
      </c>
      <c r="C217" s="9">
        <v>18.498900742909765</v>
      </c>
      <c r="D217" s="5">
        <f t="shared" si="6"/>
        <v>12</v>
      </c>
      <c r="Q217" s="4">
        <v>32478</v>
      </c>
      <c r="R217" s="12">
        <v>33.711319611114099</v>
      </c>
      <c r="S217" s="12">
        <v>34.386543377399768</v>
      </c>
      <c r="T217" s="16">
        <v>0.73014087189952293</v>
      </c>
      <c r="U217" s="12">
        <v>34.383774806708495</v>
      </c>
    </row>
    <row r="218" spans="1:21" x14ac:dyDescent="0.25">
      <c r="A218" s="4">
        <v>32509</v>
      </c>
      <c r="B218" s="9">
        <v>1.0037143297031639</v>
      </c>
      <c r="C218" s="9">
        <v>2.3294792052344024</v>
      </c>
      <c r="D218" s="5">
        <f t="shared" si="6"/>
        <v>1</v>
      </c>
      <c r="Q218" s="4">
        <v>32509</v>
      </c>
      <c r="R218" s="12">
        <v>3.9906323475775785</v>
      </c>
      <c r="S218" s="12">
        <v>0.48394403580542267</v>
      </c>
      <c r="T218" s="16">
        <v>0.12254349103068503</v>
      </c>
      <c r="U218" s="12">
        <v>0.32372926396233642</v>
      </c>
    </row>
    <row r="219" spans="1:21" x14ac:dyDescent="0.25">
      <c r="A219" s="4">
        <v>32540</v>
      </c>
      <c r="B219" s="9">
        <v>8.5397825793247772</v>
      </c>
      <c r="C219" s="9">
        <v>4.1137807338158634</v>
      </c>
      <c r="D219" s="5">
        <f t="shared" si="6"/>
        <v>2</v>
      </c>
      <c r="Q219" s="4">
        <v>32540</v>
      </c>
      <c r="R219" s="12">
        <v>5.8950811082326782</v>
      </c>
      <c r="S219" s="12">
        <v>7.6724214088004796</v>
      </c>
      <c r="T219" s="16">
        <v>0.18460244951130816</v>
      </c>
      <c r="U219" s="12">
        <v>7.49711086060596</v>
      </c>
    </row>
    <row r="220" spans="1:21" x14ac:dyDescent="0.25">
      <c r="A220" s="4">
        <v>32568</v>
      </c>
      <c r="B220" s="9">
        <v>39.890597998859747</v>
      </c>
      <c r="C220" s="9">
        <v>13.889280198453093</v>
      </c>
      <c r="D220" s="5">
        <f t="shared" si="6"/>
        <v>3</v>
      </c>
      <c r="Q220" s="4">
        <v>32568</v>
      </c>
      <c r="R220" s="12">
        <v>15.710210457798008</v>
      </c>
      <c r="S220" s="12">
        <v>11.072860295347374</v>
      </c>
      <c r="T220" s="16">
        <v>0.39276182968483275</v>
      </c>
      <c r="U220" s="12">
        <v>10.699198477147201</v>
      </c>
    </row>
    <row r="221" spans="1:21" x14ac:dyDescent="0.25">
      <c r="A221" s="4">
        <v>32599</v>
      </c>
      <c r="B221" s="9">
        <v>3.1731579831411869</v>
      </c>
      <c r="C221" s="9">
        <v>30.197145644488646</v>
      </c>
      <c r="D221" s="5">
        <f t="shared" si="6"/>
        <v>4</v>
      </c>
      <c r="Q221" s="4">
        <v>32599</v>
      </c>
      <c r="R221" s="12">
        <v>24.268840132002296</v>
      </c>
      <c r="S221" s="12">
        <v>21.302853198492365</v>
      </c>
      <c r="T221" s="16">
        <v>0.67905506664673454</v>
      </c>
      <c r="U221" s="12">
        <v>23.30518742192837</v>
      </c>
    </row>
    <row r="222" spans="1:21" x14ac:dyDescent="0.25">
      <c r="A222" s="4">
        <v>32629</v>
      </c>
      <c r="B222" s="9">
        <v>23.495463172815199</v>
      </c>
      <c r="C222" s="9">
        <v>3.2587579825794148</v>
      </c>
      <c r="D222" s="5">
        <f t="shared" si="6"/>
        <v>5</v>
      </c>
      <c r="Q222" s="4">
        <v>32629</v>
      </c>
      <c r="R222" s="12">
        <v>1.4431260195160711</v>
      </c>
      <c r="S222" s="12">
        <v>0.27243490982420943</v>
      </c>
      <c r="T222" s="16">
        <v>1.2368359971034826E-2</v>
      </c>
      <c r="U222" s="12">
        <v>0.11576546892249859</v>
      </c>
    </row>
    <row r="223" spans="1:21" x14ac:dyDescent="0.25">
      <c r="A223" s="4">
        <v>32660</v>
      </c>
      <c r="B223" s="9">
        <v>36.626743362910986</v>
      </c>
      <c r="C223" s="9">
        <v>34.307932595499601</v>
      </c>
      <c r="D223" s="5">
        <f t="shared" si="6"/>
        <v>6</v>
      </c>
      <c r="Q223" s="4">
        <v>32660</v>
      </c>
      <c r="R223" s="12">
        <v>12.356442112995921</v>
      </c>
      <c r="S223" s="12">
        <v>8.9871093789253838</v>
      </c>
      <c r="T223" s="16">
        <v>0.65830466019357514</v>
      </c>
      <c r="U223" s="12">
        <v>9.8246146700958175</v>
      </c>
    </row>
    <row r="224" spans="1:21" x14ac:dyDescent="0.25">
      <c r="A224" s="4">
        <v>32690</v>
      </c>
      <c r="B224" s="9">
        <v>1.2858791951792303</v>
      </c>
      <c r="C224" s="9">
        <v>78.764180083698278</v>
      </c>
      <c r="D224" s="5">
        <f t="shared" si="6"/>
        <v>7</v>
      </c>
      <c r="Q224" s="4">
        <v>32690</v>
      </c>
      <c r="R224" s="12">
        <v>16.008559161830721</v>
      </c>
      <c r="S224" s="12">
        <v>19.689787259547661</v>
      </c>
      <c r="T224" s="16">
        <v>0.87077230959317764</v>
      </c>
      <c r="U224" s="12">
        <v>19.996769680556465</v>
      </c>
    </row>
    <row r="225" spans="1:21" x14ac:dyDescent="0.25">
      <c r="A225" s="4">
        <v>32721</v>
      </c>
      <c r="B225" s="9">
        <v>1.9801176576027026</v>
      </c>
      <c r="C225" s="9">
        <v>11.305321680464957</v>
      </c>
      <c r="D225" s="5">
        <f t="shared" si="6"/>
        <v>8</v>
      </c>
      <c r="Q225" s="4">
        <v>32721</v>
      </c>
      <c r="R225" s="12">
        <v>3.8859274079614856</v>
      </c>
      <c r="S225" s="12">
        <v>1.8221071294900126</v>
      </c>
      <c r="T225" s="16">
        <v>0.29483731366020266</v>
      </c>
      <c r="U225" s="12">
        <v>2.1846824970321483</v>
      </c>
    </row>
    <row r="226" spans="1:21" x14ac:dyDescent="0.25">
      <c r="A226" s="4">
        <v>32752</v>
      </c>
      <c r="B226" s="9">
        <v>11.504141995577955</v>
      </c>
      <c r="C226" s="9">
        <v>5.2042341903532439</v>
      </c>
      <c r="D226" s="5">
        <f t="shared" si="6"/>
        <v>9</v>
      </c>
      <c r="Q226" s="4">
        <v>32752</v>
      </c>
      <c r="R226" s="12">
        <v>2.0993449021436099</v>
      </c>
      <c r="S226" s="12">
        <v>0.46442155619986442</v>
      </c>
      <c r="T226" s="16">
        <v>0.15588510779353143</v>
      </c>
      <c r="U226" s="12">
        <v>9.7725831000874258E-2</v>
      </c>
    </row>
    <row r="227" spans="1:21" x14ac:dyDescent="0.25">
      <c r="A227" s="4">
        <v>32782</v>
      </c>
      <c r="B227" s="9">
        <v>17.6933368674684</v>
      </c>
      <c r="C227" s="9">
        <v>38.188639535438213</v>
      </c>
      <c r="D227" s="5">
        <f t="shared" si="6"/>
        <v>10</v>
      </c>
      <c r="Q227" s="4">
        <v>32782</v>
      </c>
      <c r="R227" s="12">
        <v>47.415144760457736</v>
      </c>
      <c r="S227" s="12">
        <v>47.826520741747657</v>
      </c>
      <c r="T227" s="16">
        <v>0.82207918252429235</v>
      </c>
      <c r="U227" s="12">
        <v>48.036515969510141</v>
      </c>
    </row>
    <row r="228" spans="1:21" x14ac:dyDescent="0.25">
      <c r="A228" s="4">
        <v>32813</v>
      </c>
      <c r="B228" s="9">
        <v>28.400338669022233</v>
      </c>
      <c r="C228" s="9">
        <v>14.198051480241189</v>
      </c>
      <c r="D228" s="5">
        <f t="shared" si="6"/>
        <v>11</v>
      </c>
      <c r="Q228" s="4">
        <v>32813</v>
      </c>
      <c r="R228" s="12">
        <v>14.61447326785165</v>
      </c>
      <c r="S228" s="12">
        <v>13.899494008796495</v>
      </c>
      <c r="T228" s="16">
        <v>0.39728766953461253</v>
      </c>
      <c r="U228" s="12">
        <v>13.792148818506352</v>
      </c>
    </row>
    <row r="229" spans="1:21" x14ac:dyDescent="0.25">
      <c r="A229" s="4">
        <v>32843</v>
      </c>
      <c r="B229" s="9">
        <v>54.1055614917478</v>
      </c>
      <c r="C229" s="9">
        <v>14.440305076666501</v>
      </c>
      <c r="D229" s="5">
        <f t="shared" si="6"/>
        <v>12</v>
      </c>
      <c r="Q229" s="4">
        <v>32843</v>
      </c>
      <c r="R229" s="12">
        <v>26.315171181621626</v>
      </c>
      <c r="S229" s="12">
        <v>27.949853923035683</v>
      </c>
      <c r="T229" s="16">
        <v>0.65538502454813652</v>
      </c>
      <c r="U229" s="12">
        <v>28.410181780711881</v>
      </c>
    </row>
    <row r="230" spans="1:21" x14ac:dyDescent="0.25">
      <c r="A230" s="4">
        <v>32874</v>
      </c>
      <c r="B230" s="9">
        <v>1.6753945636351404</v>
      </c>
      <c r="C230" s="9">
        <v>26.75067561983327</v>
      </c>
      <c r="D230" s="5">
        <f t="shared" si="6"/>
        <v>1</v>
      </c>
      <c r="Q230" s="4">
        <v>32874</v>
      </c>
      <c r="R230" s="12">
        <v>45.82659987184546</v>
      </c>
      <c r="S230" s="12">
        <v>42.62868685812559</v>
      </c>
      <c r="T230" s="16">
        <v>0.81854765372076532</v>
      </c>
      <c r="U230" s="12">
        <v>48.163261629298006</v>
      </c>
    </row>
    <row r="231" spans="1:21" x14ac:dyDescent="0.25">
      <c r="A231" s="4">
        <v>32905</v>
      </c>
      <c r="B231" s="9">
        <v>11.814228672573567</v>
      </c>
      <c r="C231" s="9">
        <v>67.940745803070584</v>
      </c>
      <c r="D231" s="5">
        <f t="shared" si="6"/>
        <v>2</v>
      </c>
      <c r="Q231" s="4">
        <v>32905</v>
      </c>
      <c r="R231" s="12">
        <v>97.359638974099852</v>
      </c>
      <c r="S231" s="12">
        <v>88.041428287614778</v>
      </c>
      <c r="T231" s="16">
        <v>0.96455449222924028</v>
      </c>
      <c r="U231" s="12">
        <v>89.887099335294863</v>
      </c>
    </row>
    <row r="232" spans="1:21" x14ac:dyDescent="0.25">
      <c r="A232" s="4">
        <v>32933</v>
      </c>
      <c r="B232" s="9">
        <v>7.2186414611413623</v>
      </c>
      <c r="C232" s="9">
        <v>6.068600093989148</v>
      </c>
      <c r="D232" s="5">
        <f t="shared" si="6"/>
        <v>3</v>
      </c>
      <c r="Q232" s="4">
        <v>32933</v>
      </c>
      <c r="R232" s="12">
        <v>6.864213501243972</v>
      </c>
      <c r="S232" s="12">
        <v>3.3389706597743376</v>
      </c>
      <c r="T232" s="16">
        <v>0.13394904205058661</v>
      </c>
      <c r="U232" s="12">
        <v>2.5512200416662338</v>
      </c>
    </row>
    <row r="233" spans="1:21" x14ac:dyDescent="0.25">
      <c r="A233" s="4">
        <v>32964</v>
      </c>
      <c r="B233" s="9">
        <v>12.150577502244102</v>
      </c>
      <c r="C233" s="9">
        <v>52.493952255954561</v>
      </c>
      <c r="D233" s="5">
        <f t="shared" si="6"/>
        <v>4</v>
      </c>
      <c r="Q233" s="4">
        <v>32964</v>
      </c>
      <c r="R233" s="12">
        <v>42.18833628168553</v>
      </c>
      <c r="S233" s="12">
        <v>51.97861074915977</v>
      </c>
      <c r="T233" s="16">
        <v>0.90836030156287051</v>
      </c>
      <c r="U233" s="12">
        <v>50.738867813014977</v>
      </c>
    </row>
    <row r="234" spans="1:21" x14ac:dyDescent="0.25">
      <c r="A234" s="4">
        <v>32994</v>
      </c>
      <c r="B234" s="9">
        <v>38.719725585737514</v>
      </c>
      <c r="C234" s="9">
        <v>11.211407305891294</v>
      </c>
      <c r="D234" s="5">
        <f t="shared" si="6"/>
        <v>5</v>
      </c>
      <c r="Q234" s="4">
        <v>32994</v>
      </c>
      <c r="R234" s="12">
        <v>4.9649202809831596</v>
      </c>
      <c r="S234" s="12">
        <v>2.0241198129881051</v>
      </c>
      <c r="T234" s="16">
        <v>0.12724616486295032</v>
      </c>
      <c r="U234" s="12">
        <v>1.6801452746872809</v>
      </c>
    </row>
    <row r="235" spans="1:21" x14ac:dyDescent="0.25">
      <c r="A235" s="4">
        <v>33025</v>
      </c>
      <c r="B235" s="9">
        <v>0.13134337202983098</v>
      </c>
      <c r="C235" s="9">
        <v>53.739788399002038</v>
      </c>
      <c r="D235" s="5">
        <f t="shared" si="6"/>
        <v>6</v>
      </c>
      <c r="Q235" s="4">
        <v>33025</v>
      </c>
      <c r="R235" s="12">
        <v>19.355074301504953</v>
      </c>
      <c r="S235" s="12">
        <v>19.944121276152835</v>
      </c>
      <c r="T235" s="16">
        <v>0.83510531884114247</v>
      </c>
      <c r="U235" s="12">
        <v>21.614008191375955</v>
      </c>
    </row>
    <row r="236" spans="1:21" x14ac:dyDescent="0.25">
      <c r="A236" s="4">
        <v>33055</v>
      </c>
      <c r="B236" s="9">
        <v>0.59674351067558673</v>
      </c>
      <c r="C236" s="9">
        <v>22.104154137109273</v>
      </c>
      <c r="D236" s="5">
        <f t="shared" si="6"/>
        <v>7</v>
      </c>
      <c r="Q236" s="4">
        <v>33055</v>
      </c>
      <c r="R236" s="12">
        <v>4.4925962391802532</v>
      </c>
      <c r="S236" s="12">
        <v>1.4742717197614865</v>
      </c>
      <c r="T236" s="16">
        <v>0.21946039633478229</v>
      </c>
      <c r="U236" s="12">
        <v>1.6285216755035004</v>
      </c>
    </row>
    <row r="237" spans="1:21" x14ac:dyDescent="0.25">
      <c r="A237" s="4">
        <v>33086</v>
      </c>
      <c r="B237" s="9">
        <v>18.648781742898763</v>
      </c>
      <c r="C237" s="9">
        <v>1.1408037331938321</v>
      </c>
      <c r="D237" s="5">
        <f t="shared" si="6"/>
        <v>8</v>
      </c>
      <c r="Q237" s="4">
        <v>33086</v>
      </c>
      <c r="R237" s="12">
        <v>0.39212333971733332</v>
      </c>
      <c r="S237" s="12">
        <v>5.0094190024430378E-2</v>
      </c>
      <c r="T237" s="16">
        <v>1.9374401617793368E-2</v>
      </c>
      <c r="U237" s="12">
        <v>4.1193321542483702E-2</v>
      </c>
    </row>
    <row r="238" spans="1:21" x14ac:dyDescent="0.25">
      <c r="A238" s="4">
        <v>33117</v>
      </c>
      <c r="B238" s="9">
        <v>6.9306860660576017</v>
      </c>
      <c r="C238" s="9">
        <v>15.996605912537978</v>
      </c>
      <c r="D238" s="5">
        <f t="shared" si="6"/>
        <v>9</v>
      </c>
      <c r="Q238" s="4">
        <v>33117</v>
      </c>
      <c r="R238" s="12">
        <v>6.4528981298221488</v>
      </c>
      <c r="S238" s="12">
        <v>2.8107044144919873</v>
      </c>
      <c r="T238" s="16">
        <v>0.38587823640833419</v>
      </c>
      <c r="U238" s="12">
        <v>1.6535855726680917</v>
      </c>
    </row>
    <row r="239" spans="1:21" x14ac:dyDescent="0.25">
      <c r="A239" s="4">
        <v>33147</v>
      </c>
      <c r="B239" s="9">
        <v>12.191169283881798</v>
      </c>
      <c r="C239" s="9">
        <v>10.007091254436085</v>
      </c>
      <c r="D239" s="5">
        <f t="shared" si="6"/>
        <v>10</v>
      </c>
      <c r="Q239" s="4">
        <v>33147</v>
      </c>
      <c r="R239" s="12">
        <v>12.424838544454653</v>
      </c>
      <c r="S239" s="12">
        <v>11.649590986666741</v>
      </c>
      <c r="T239" s="16">
        <v>0.31676261049517457</v>
      </c>
      <c r="U239" s="12">
        <v>11.562129501285977</v>
      </c>
    </row>
    <row r="240" spans="1:21" x14ac:dyDescent="0.25">
      <c r="A240" s="4">
        <v>33178</v>
      </c>
      <c r="B240" s="9">
        <v>14.734795200789117</v>
      </c>
      <c r="C240" s="9">
        <v>56.790563175394631</v>
      </c>
      <c r="D240" s="5">
        <f t="shared" si="6"/>
        <v>11</v>
      </c>
      <c r="Q240" s="4">
        <v>33178</v>
      </c>
      <c r="R240" s="12">
        <v>58.456202144926031</v>
      </c>
      <c r="S240" s="12">
        <v>58.495917095803243</v>
      </c>
      <c r="T240" s="16">
        <v>0.81047478861216382</v>
      </c>
      <c r="U240" s="12">
        <v>58.717170662250183</v>
      </c>
    </row>
    <row r="241" spans="1:21" x14ac:dyDescent="0.25">
      <c r="A241" s="4">
        <v>33208</v>
      </c>
      <c r="B241" s="9">
        <v>38.39824150618437</v>
      </c>
      <c r="C241" s="9">
        <v>13.69923404764387</v>
      </c>
      <c r="D241" s="5">
        <f t="shared" si="6"/>
        <v>12</v>
      </c>
      <c r="Q241" s="4">
        <v>33208</v>
      </c>
      <c r="R241" s="12">
        <v>24.96468648736246</v>
      </c>
      <c r="S241" s="12">
        <v>26.744507202893331</v>
      </c>
      <c r="T241" s="16">
        <v>0.63935606403367484</v>
      </c>
      <c r="U241" s="12">
        <v>27.291992972000525</v>
      </c>
    </row>
    <row r="242" spans="1:21" x14ac:dyDescent="0.25">
      <c r="A242" s="4">
        <v>33239</v>
      </c>
      <c r="B242" s="9">
        <v>62.335303490321422</v>
      </c>
      <c r="C242" s="9">
        <v>52.812823856189318</v>
      </c>
      <c r="D242" s="5">
        <f t="shared" si="6"/>
        <v>1</v>
      </c>
      <c r="Q242" s="4">
        <v>33239</v>
      </c>
      <c r="R242" s="12">
        <v>90.473683033465278</v>
      </c>
      <c r="S242" s="12">
        <v>148.48302423390638</v>
      </c>
      <c r="T242" s="16">
        <v>0.96805722142116768</v>
      </c>
      <c r="U242" s="12">
        <v>134.31573779206647</v>
      </c>
    </row>
    <row r="243" spans="1:21" x14ac:dyDescent="0.25">
      <c r="A243" s="4">
        <v>33270</v>
      </c>
      <c r="B243" s="9">
        <v>15.761708897440274</v>
      </c>
      <c r="C243" s="9">
        <v>1.5011309537856785</v>
      </c>
      <c r="D243" s="5">
        <f t="shared" si="6"/>
        <v>2</v>
      </c>
      <c r="Q243" s="4">
        <v>33270</v>
      </c>
      <c r="R243" s="12">
        <v>2.1511328141295527</v>
      </c>
      <c r="S243" s="12">
        <v>3.1912302457069344</v>
      </c>
      <c r="T243" s="16">
        <v>7.2088493782052079E-2</v>
      </c>
      <c r="U243" s="12">
        <v>3.2092412900727472</v>
      </c>
    </row>
    <row r="244" spans="1:21" x14ac:dyDescent="0.25">
      <c r="A244" s="4">
        <v>33298</v>
      </c>
      <c r="B244" s="9">
        <v>30.308301871872484</v>
      </c>
      <c r="C244" s="9">
        <v>5.700452563304462</v>
      </c>
      <c r="D244" s="5">
        <f t="shared" si="6"/>
        <v>3</v>
      </c>
      <c r="Q244" s="4">
        <v>33298</v>
      </c>
      <c r="R244" s="12">
        <v>6.4478006199472713</v>
      </c>
      <c r="S244" s="12">
        <v>3.0497218701185962</v>
      </c>
      <c r="T244" s="16">
        <v>0.12226290207047209</v>
      </c>
      <c r="U244" s="12">
        <v>2.2756168293465211</v>
      </c>
    </row>
    <row r="245" spans="1:21" x14ac:dyDescent="0.25">
      <c r="A245" s="4">
        <v>33329</v>
      </c>
      <c r="B245" s="9">
        <v>65.991676417631467</v>
      </c>
      <c r="C245" s="9">
        <v>2.1214754046997726</v>
      </c>
      <c r="D245" s="5">
        <f t="shared" si="6"/>
        <v>4</v>
      </c>
      <c r="Q245" s="4">
        <v>33329</v>
      </c>
      <c r="R245" s="12">
        <v>1.7049872212021615</v>
      </c>
      <c r="S245" s="12">
        <v>0.29373033036985829</v>
      </c>
      <c r="T245" s="16">
        <v>1.5653337151584901E-2</v>
      </c>
      <c r="U245" s="12">
        <v>0.22977387899496424</v>
      </c>
    </row>
    <row r="246" spans="1:21" x14ac:dyDescent="0.25">
      <c r="A246" s="4">
        <v>33359</v>
      </c>
      <c r="B246" s="9">
        <v>22.812913256667208</v>
      </c>
      <c r="C246" s="9">
        <v>47.496898462628856</v>
      </c>
      <c r="D246" s="5">
        <f t="shared" si="6"/>
        <v>5</v>
      </c>
      <c r="Q246" s="4">
        <v>33359</v>
      </c>
      <c r="R246" s="12">
        <v>21.033783540893001</v>
      </c>
      <c r="S246" s="12">
        <v>21.083079329027381</v>
      </c>
      <c r="T246" s="16">
        <v>0.76684976961448359</v>
      </c>
      <c r="U246" s="12">
        <v>22.168863015423572</v>
      </c>
    </row>
    <row r="247" spans="1:21" x14ac:dyDescent="0.25">
      <c r="A247" s="4">
        <v>33390</v>
      </c>
      <c r="B247" s="9">
        <v>6.9828956703569904</v>
      </c>
      <c r="C247" s="9">
        <v>2.5401701375614603</v>
      </c>
      <c r="D247" s="5">
        <f t="shared" si="6"/>
        <v>6</v>
      </c>
      <c r="Q247" s="4">
        <v>33390</v>
      </c>
      <c r="R247" s="12">
        <v>0.91487486675476248</v>
      </c>
      <c r="S247" s="12">
        <v>8.8207539973984492E-2</v>
      </c>
      <c r="T247" s="16">
        <v>4.1905100112959712E-2</v>
      </c>
      <c r="U247" s="12">
        <v>2.0845180683160242E-2</v>
      </c>
    </row>
    <row r="248" spans="1:21" x14ac:dyDescent="0.25">
      <c r="A248" s="4">
        <v>33420</v>
      </c>
      <c r="B248" s="9">
        <v>13.608362013894553</v>
      </c>
      <c r="C248" s="9">
        <v>46.927144732896046</v>
      </c>
      <c r="D248" s="5">
        <f t="shared" si="6"/>
        <v>7</v>
      </c>
      <c r="Q248" s="4">
        <v>33420</v>
      </c>
      <c r="R248" s="12">
        <v>9.5377869985323649</v>
      </c>
      <c r="S248" s="12">
        <v>6.8467530215252816</v>
      </c>
      <c r="T248" s="16">
        <v>0.60134733021557962</v>
      </c>
      <c r="U248" s="12">
        <v>7.9610222196090907</v>
      </c>
    </row>
    <row r="249" spans="1:21" x14ac:dyDescent="0.25">
      <c r="A249" s="4">
        <v>33451</v>
      </c>
      <c r="B249" s="9">
        <v>5.6630867584900084</v>
      </c>
      <c r="C249" s="9">
        <v>3.6590018460076568</v>
      </c>
      <c r="D249" s="5">
        <f t="shared" si="6"/>
        <v>8</v>
      </c>
      <c r="Q249" s="4">
        <v>33451</v>
      </c>
      <c r="R249" s="12">
        <v>1.2576922586600872</v>
      </c>
      <c r="S249" s="12">
        <v>0.31109817239373888</v>
      </c>
      <c r="T249" s="16">
        <v>8.2829314846847052E-2</v>
      </c>
      <c r="U249" s="12">
        <v>0.33009438167132354</v>
      </c>
    </row>
    <row r="250" spans="1:21" x14ac:dyDescent="0.25">
      <c r="A250" s="4">
        <v>33482</v>
      </c>
      <c r="B250" s="9">
        <v>15.118089928792671</v>
      </c>
      <c r="C250" s="9">
        <v>28.01366306889053</v>
      </c>
      <c r="D250" s="5">
        <f t="shared" si="6"/>
        <v>9</v>
      </c>
      <c r="Q250" s="4">
        <v>33482</v>
      </c>
      <c r="R250" s="12">
        <v>11.300479302614209</v>
      </c>
      <c r="S250" s="12">
        <v>6.9020071887692369</v>
      </c>
      <c r="T250" s="16">
        <v>0.56399015144074616</v>
      </c>
      <c r="U250" s="12">
        <v>5.728356550489397</v>
      </c>
    </row>
    <row r="251" spans="1:21" x14ac:dyDescent="0.25">
      <c r="A251" s="4">
        <v>33512</v>
      </c>
      <c r="B251" s="9">
        <v>25.910179693472049</v>
      </c>
      <c r="C251" s="9">
        <v>1.8204426303080439</v>
      </c>
      <c r="D251" s="5">
        <f t="shared" si="6"/>
        <v>10</v>
      </c>
      <c r="Q251" s="4">
        <v>33512</v>
      </c>
      <c r="R251" s="12">
        <v>2.2602677627220653</v>
      </c>
      <c r="S251" s="12">
        <v>1.9310810410072934</v>
      </c>
      <c r="T251" s="16">
        <v>4.9669946608642462E-2</v>
      </c>
      <c r="U251" s="12">
        <v>1.8104966866009227</v>
      </c>
    </row>
    <row r="252" spans="1:21" x14ac:dyDescent="0.25">
      <c r="A252" s="4">
        <v>33543</v>
      </c>
      <c r="B252" s="9">
        <v>49.427450765984148</v>
      </c>
      <c r="C252" s="9">
        <v>3.832801944845786</v>
      </c>
      <c r="D252" s="5">
        <f t="shared" si="6"/>
        <v>11</v>
      </c>
      <c r="Q252" s="4">
        <v>33543</v>
      </c>
      <c r="R252" s="12">
        <v>3.9452161193999991</v>
      </c>
      <c r="S252" s="12">
        <v>3.5762675186070312</v>
      </c>
      <c r="T252" s="16">
        <v>0.15896457764331426</v>
      </c>
      <c r="U252" s="12">
        <v>3.445613907975805</v>
      </c>
    </row>
    <row r="253" spans="1:21" x14ac:dyDescent="0.25">
      <c r="A253" s="4">
        <v>33573</v>
      </c>
      <c r="B253" s="9">
        <v>2.2636432273096636</v>
      </c>
      <c r="C253" s="9">
        <v>3.9832915603609993</v>
      </c>
      <c r="D253" s="5">
        <f t="shared" si="6"/>
        <v>12</v>
      </c>
      <c r="Q253" s="4">
        <v>33573</v>
      </c>
      <c r="R253" s="12">
        <v>7.2589186115315787</v>
      </c>
      <c r="S253" s="12">
        <v>9.5138386746460526</v>
      </c>
      <c r="T253" s="16">
        <v>0.31483803895520479</v>
      </c>
      <c r="U253" s="12">
        <v>11.067142545891008</v>
      </c>
    </row>
    <row r="254" spans="1:21" x14ac:dyDescent="0.25">
      <c r="A254" s="4">
        <v>33604</v>
      </c>
      <c r="B254" s="9">
        <v>8.2172130785869921</v>
      </c>
      <c r="C254" s="9">
        <v>2.5996936710096885</v>
      </c>
      <c r="D254" s="5">
        <f t="shared" si="6"/>
        <v>1</v>
      </c>
      <c r="Q254" s="4">
        <v>33604</v>
      </c>
      <c r="R254" s="12">
        <v>4.4535369253403774</v>
      </c>
      <c r="S254" s="12">
        <v>0.59189193057575407</v>
      </c>
      <c r="T254" s="16">
        <v>0.13665433504524369</v>
      </c>
      <c r="U254" s="12">
        <v>0.4203946109635559</v>
      </c>
    </row>
    <row r="255" spans="1:21" x14ac:dyDescent="0.25">
      <c r="A255" s="4">
        <v>33635</v>
      </c>
      <c r="B255" s="9">
        <v>5.6053413128777425</v>
      </c>
      <c r="C255" s="9">
        <v>3.0761011087211632</v>
      </c>
      <c r="D255" s="5">
        <f t="shared" si="6"/>
        <v>2</v>
      </c>
      <c r="Q255" s="4">
        <v>33635</v>
      </c>
      <c r="R255" s="12">
        <v>4.4080778015154687</v>
      </c>
      <c r="S255" s="12">
        <v>5.9577651620077079</v>
      </c>
      <c r="T255" s="16">
        <v>0.14169855303619763</v>
      </c>
      <c r="U255" s="12">
        <v>5.8603299071274764</v>
      </c>
    </row>
    <row r="256" spans="1:21" x14ac:dyDescent="0.25">
      <c r="A256" s="4">
        <v>33664</v>
      </c>
      <c r="B256" s="9">
        <v>2.655017498049228</v>
      </c>
      <c r="C256" s="9">
        <v>9.5717071303893348</v>
      </c>
      <c r="D256" s="5">
        <f t="shared" si="6"/>
        <v>3</v>
      </c>
      <c r="Q256" s="4">
        <v>33664</v>
      </c>
      <c r="R256" s="12">
        <v>10.82658937758128</v>
      </c>
      <c r="S256" s="12">
        <v>6.4587814376349471</v>
      </c>
      <c r="T256" s="16">
        <v>0.2507284549199375</v>
      </c>
      <c r="U256" s="12">
        <v>5.724043598345733</v>
      </c>
    </row>
    <row r="257" spans="1:21" x14ac:dyDescent="0.25">
      <c r="A257" s="4">
        <v>33695</v>
      </c>
      <c r="B257" s="9">
        <v>32.071317944996963</v>
      </c>
      <c r="C257" s="9">
        <v>17.368232389897642</v>
      </c>
      <c r="D257" s="5">
        <f t="shared" si="6"/>
        <v>4</v>
      </c>
      <c r="Q257" s="4">
        <v>33695</v>
      </c>
      <c r="R257" s="12">
        <v>13.958499926062391</v>
      </c>
      <c r="S257" s="12">
        <v>8.7285674352983147</v>
      </c>
      <c r="T257" s="16">
        <v>0.40058004430783495</v>
      </c>
      <c r="U257" s="12">
        <v>10.003615920874898</v>
      </c>
    </row>
    <row r="258" spans="1:21" x14ac:dyDescent="0.25">
      <c r="A258" s="4">
        <v>33725</v>
      </c>
      <c r="B258" s="9">
        <v>14.715111406222</v>
      </c>
      <c r="C258" s="9">
        <v>60.0996996391614</v>
      </c>
      <c r="D258" s="5">
        <f t="shared" si="6"/>
        <v>5</v>
      </c>
      <c r="Q258" s="4">
        <v>33725</v>
      </c>
      <c r="R258" s="12">
        <v>26.614876212968611</v>
      </c>
      <c r="S258" s="12">
        <v>30.890664754558525</v>
      </c>
      <c r="T258" s="16">
        <v>0.86995234119596154</v>
      </c>
      <c r="U258" s="12">
        <v>31.687068093965237</v>
      </c>
    </row>
    <row r="259" spans="1:21" x14ac:dyDescent="0.25">
      <c r="A259" s="4">
        <v>33756</v>
      </c>
      <c r="B259" s="9">
        <v>36.004730467755088</v>
      </c>
      <c r="C259" s="9">
        <v>23.449762943157452</v>
      </c>
      <c r="D259" s="5">
        <f t="shared" ref="D259:D322" si="7">MONTH(A259)</f>
        <v>6</v>
      </c>
      <c r="Q259" s="4">
        <v>33756</v>
      </c>
      <c r="R259" s="12">
        <v>8.4457329967067469</v>
      </c>
      <c r="S259" s="12">
        <v>4.5717537140433171</v>
      </c>
      <c r="T259" s="16">
        <v>0.49615252612852273</v>
      </c>
      <c r="U259" s="12">
        <v>4.6905267569209679</v>
      </c>
    </row>
    <row r="260" spans="1:21" x14ac:dyDescent="0.25">
      <c r="A260" s="4">
        <v>33786</v>
      </c>
      <c r="B260" s="9">
        <v>12.872141894983253</v>
      </c>
      <c r="C260" s="9">
        <v>21.646338373148275</v>
      </c>
      <c r="D260" s="5">
        <f t="shared" si="7"/>
        <v>7</v>
      </c>
      <c r="Q260" s="4">
        <v>33786</v>
      </c>
      <c r="R260" s="12">
        <v>4.3995466989603171</v>
      </c>
      <c r="S260" s="12">
        <v>1.4126579735800162</v>
      </c>
      <c r="T260" s="16">
        <v>0.21201838551520924</v>
      </c>
      <c r="U260" s="12">
        <v>1.5514242980407906</v>
      </c>
    </row>
    <row r="261" spans="1:21" x14ac:dyDescent="0.25">
      <c r="A261" s="4">
        <v>33817</v>
      </c>
      <c r="B261" s="9">
        <v>0.94955865039374499</v>
      </c>
      <c r="C261" s="9">
        <v>5.418893997225215</v>
      </c>
      <c r="D261" s="5">
        <f t="shared" si="7"/>
        <v>8</v>
      </c>
      <c r="Q261" s="4">
        <v>33817</v>
      </c>
      <c r="R261" s="12">
        <v>1.8626120777298749</v>
      </c>
      <c r="S261" s="12">
        <v>0.57562048703477897</v>
      </c>
      <c r="T261" s="16">
        <v>0.13187453676533492</v>
      </c>
      <c r="U261" s="12">
        <v>0.64921960966100678</v>
      </c>
    </row>
    <row r="262" spans="1:21" x14ac:dyDescent="0.25">
      <c r="A262" s="4">
        <v>33848</v>
      </c>
      <c r="B262" s="9">
        <v>0.52395768148549593</v>
      </c>
      <c r="C262" s="9">
        <v>16.180188792029899</v>
      </c>
      <c r="D262" s="5">
        <f t="shared" si="7"/>
        <v>9</v>
      </c>
      <c r="Q262" s="4">
        <v>33848</v>
      </c>
      <c r="R262" s="12">
        <v>6.5269539405496149</v>
      </c>
      <c r="S262" s="12">
        <v>2.8626016275994925</v>
      </c>
      <c r="T262" s="16">
        <v>0.38912126234962596</v>
      </c>
      <c r="U262" s="12">
        <v>1.69822882775354</v>
      </c>
    </row>
    <row r="263" spans="1:21" x14ac:dyDescent="0.25">
      <c r="A263" s="4">
        <v>33878</v>
      </c>
      <c r="B263" s="9">
        <v>19.376426171466477</v>
      </c>
      <c r="C263" s="9">
        <v>11.402600731959692</v>
      </c>
      <c r="D263" s="5">
        <f t="shared" si="7"/>
        <v>10</v>
      </c>
      <c r="Q263" s="4">
        <v>33878</v>
      </c>
      <c r="R263" s="12">
        <v>14.157507859106982</v>
      </c>
      <c r="S263" s="12">
        <v>13.36903011369543</v>
      </c>
      <c r="T263" s="16">
        <v>0.35773762957508692</v>
      </c>
      <c r="U263" s="12">
        <v>13.303733339640916</v>
      </c>
    </row>
    <row r="264" spans="1:21" x14ac:dyDescent="0.25">
      <c r="A264" s="4">
        <v>33909</v>
      </c>
      <c r="B264" s="9">
        <v>21.492191681794814</v>
      </c>
      <c r="C264" s="9">
        <v>2.544693774884252</v>
      </c>
      <c r="D264" s="5">
        <f t="shared" si="7"/>
        <v>11</v>
      </c>
      <c r="Q264" s="4">
        <v>33909</v>
      </c>
      <c r="R264" s="12">
        <v>2.619328377536116</v>
      </c>
      <c r="S264" s="12">
        <v>2.3389753739070738</v>
      </c>
      <c r="T264" s="16">
        <v>0.1171593234894215</v>
      </c>
      <c r="U264" s="12">
        <v>2.2273589103352869</v>
      </c>
    </row>
    <row r="265" spans="1:21" x14ac:dyDescent="0.25">
      <c r="A265" s="4">
        <v>33939</v>
      </c>
      <c r="B265" s="9">
        <v>0.60694617503460591</v>
      </c>
      <c r="C265" s="9">
        <v>0.93571216440060923</v>
      </c>
      <c r="D265" s="5">
        <f t="shared" si="7"/>
        <v>12</v>
      </c>
      <c r="Q265" s="4">
        <v>33939</v>
      </c>
      <c r="R265" s="12">
        <v>1.7051873663469683</v>
      </c>
      <c r="S265" s="12">
        <v>2.831102544380212</v>
      </c>
      <c r="T265" s="16">
        <v>0.11735040471156283</v>
      </c>
      <c r="U265" s="12">
        <v>4.1227094738349104</v>
      </c>
    </row>
    <row r="266" spans="1:21" x14ac:dyDescent="0.25">
      <c r="A266" s="4">
        <v>33970</v>
      </c>
      <c r="B266" s="9">
        <v>25.906528645724837</v>
      </c>
      <c r="C266" s="9">
        <v>2.7457991872205616</v>
      </c>
      <c r="D266" s="5">
        <f t="shared" si="7"/>
        <v>1</v>
      </c>
      <c r="Q266" s="4">
        <v>33970</v>
      </c>
      <c r="R266" s="12">
        <v>4.7038303805644004</v>
      </c>
      <c r="S266" s="12">
        <v>0.65434979888275091</v>
      </c>
      <c r="T266" s="16">
        <v>0.14422440943991843</v>
      </c>
      <c r="U266" s="12">
        <v>0.47845461918149124</v>
      </c>
    </row>
    <row r="267" spans="1:21" x14ac:dyDescent="0.25">
      <c r="A267" s="4">
        <v>34001</v>
      </c>
      <c r="B267" s="9">
        <v>0.51666044077333639</v>
      </c>
      <c r="C267" s="9">
        <v>34.10057345527629</v>
      </c>
      <c r="D267" s="5">
        <f t="shared" si="7"/>
        <v>2</v>
      </c>
      <c r="Q267" s="4">
        <v>34001</v>
      </c>
      <c r="R267" s="12">
        <v>48.866397935028616</v>
      </c>
      <c r="S267" s="12">
        <v>48.326952667911385</v>
      </c>
      <c r="T267" s="16">
        <v>0.81342882830151741</v>
      </c>
      <c r="U267" s="12">
        <v>47.780836675259714</v>
      </c>
    </row>
    <row r="268" spans="1:21" x14ac:dyDescent="0.25">
      <c r="A268" s="4">
        <v>34029</v>
      </c>
      <c r="B268" s="9">
        <v>5.9833735399377002</v>
      </c>
      <c r="C268" s="9">
        <v>26.285436098185908</v>
      </c>
      <c r="D268" s="5">
        <f t="shared" si="7"/>
        <v>3</v>
      </c>
      <c r="Q268" s="4">
        <v>34029</v>
      </c>
      <c r="R268" s="12">
        <v>29.731543116503143</v>
      </c>
      <c r="S268" s="12">
        <v>27.885321912291307</v>
      </c>
      <c r="T268" s="16">
        <v>0.70230893121758808</v>
      </c>
      <c r="U268" s="12">
        <v>28.904819483022564</v>
      </c>
    </row>
    <row r="269" spans="1:21" x14ac:dyDescent="0.25">
      <c r="A269" s="4">
        <v>34060</v>
      </c>
      <c r="B269" s="9">
        <v>21.563677713186671</v>
      </c>
      <c r="C269" s="9">
        <v>59.96997052141591</v>
      </c>
      <c r="D269" s="5">
        <f t="shared" si="7"/>
        <v>4</v>
      </c>
      <c r="Q269" s="4">
        <v>34060</v>
      </c>
      <c r="R269" s="12">
        <v>48.196662175941846</v>
      </c>
      <c r="S269" s="12">
        <v>64.432393796330061</v>
      </c>
      <c r="T269" s="16">
        <v>0.94139336756789449</v>
      </c>
      <c r="U269" s="12">
        <v>60.630174188128045</v>
      </c>
    </row>
    <row r="270" spans="1:21" x14ac:dyDescent="0.25">
      <c r="A270" s="4">
        <v>34090</v>
      </c>
      <c r="B270" s="9">
        <v>26.042797940263913</v>
      </c>
      <c r="C270" s="9">
        <v>26.129606240396349</v>
      </c>
      <c r="D270" s="5">
        <f t="shared" si="7"/>
        <v>5</v>
      </c>
      <c r="Q270" s="4">
        <v>34090</v>
      </c>
      <c r="R270" s="12">
        <v>11.571376225790814</v>
      </c>
      <c r="S270" s="12">
        <v>7.9925363456174932</v>
      </c>
      <c r="T270" s="16">
        <v>0.44129790141532343</v>
      </c>
      <c r="U270" s="12">
        <v>8.2813865546104353</v>
      </c>
    </row>
    <row r="271" spans="1:21" x14ac:dyDescent="0.25">
      <c r="A271" s="4">
        <v>34121</v>
      </c>
      <c r="B271" s="9">
        <v>0.17893382693136875</v>
      </c>
      <c r="C271" s="9">
        <v>25.494032400259862</v>
      </c>
      <c r="D271" s="5">
        <f t="shared" si="7"/>
        <v>6</v>
      </c>
      <c r="Q271" s="4">
        <v>34121</v>
      </c>
      <c r="R271" s="12">
        <v>9.1820028707289723</v>
      </c>
      <c r="S271" s="12">
        <v>5.303481671796197</v>
      </c>
      <c r="T271" s="16">
        <v>0.53097079575628914</v>
      </c>
      <c r="U271" s="12">
        <v>5.5493617382999894</v>
      </c>
    </row>
    <row r="272" spans="1:21" x14ac:dyDescent="0.25">
      <c r="A272" s="4">
        <v>34151</v>
      </c>
      <c r="B272" s="9">
        <v>1.2450389448365087</v>
      </c>
      <c r="C272" s="9">
        <v>73.844764386200211</v>
      </c>
      <c r="D272" s="5">
        <f t="shared" si="7"/>
        <v>7</v>
      </c>
      <c r="Q272" s="4">
        <v>34151</v>
      </c>
      <c r="R272" s="12">
        <v>15.00870418776319</v>
      </c>
      <c r="S272" s="12">
        <v>17.262698241041967</v>
      </c>
      <c r="T272" s="16">
        <v>0.84433095009195502</v>
      </c>
      <c r="U272" s="12">
        <v>17.951407277204762</v>
      </c>
    </row>
    <row r="273" spans="1:21" x14ac:dyDescent="0.25">
      <c r="A273" s="4">
        <v>34182</v>
      </c>
      <c r="B273" s="9">
        <v>7.8451487028854894</v>
      </c>
      <c r="C273" s="9">
        <v>20.870677530339265</v>
      </c>
      <c r="D273" s="5">
        <f t="shared" si="7"/>
        <v>8</v>
      </c>
      <c r="Q273" s="4">
        <v>34182</v>
      </c>
      <c r="R273" s="12">
        <v>7.1737841814807854</v>
      </c>
      <c r="S273" s="12">
        <v>4.7618724951400448</v>
      </c>
      <c r="T273" s="16">
        <v>0.5167087672989118</v>
      </c>
      <c r="U273" s="12">
        <v>5.6197454304637473</v>
      </c>
    </row>
    <row r="274" spans="1:21" x14ac:dyDescent="0.25">
      <c r="A274" s="4">
        <v>34213</v>
      </c>
      <c r="B274" s="9">
        <v>6.2602580847925957E-2</v>
      </c>
      <c r="C274" s="9">
        <v>0.97774830288323766</v>
      </c>
      <c r="D274" s="5">
        <f t="shared" si="7"/>
        <v>9</v>
      </c>
      <c r="Q274" s="4">
        <v>34213</v>
      </c>
      <c r="R274" s="12">
        <v>0.39441555475007672</v>
      </c>
      <c r="S274" s="12">
        <v>3.18184440974058E-2</v>
      </c>
      <c r="T274" s="16">
        <v>3.5051270118521473E-2</v>
      </c>
      <c r="U274" s="12">
        <v>9.686877656475886E-4</v>
      </c>
    </row>
    <row r="275" spans="1:21" x14ac:dyDescent="0.25">
      <c r="A275" s="4">
        <v>34243</v>
      </c>
      <c r="B275" s="9">
        <v>3.5227161627451609</v>
      </c>
      <c r="C275" s="9">
        <v>16.652231772561006</v>
      </c>
      <c r="D275" s="5">
        <f t="shared" si="7"/>
        <v>10</v>
      </c>
      <c r="Q275" s="4">
        <v>34243</v>
      </c>
      <c r="R275" s="12">
        <v>20.675467617744594</v>
      </c>
      <c r="S275" s="12">
        <v>19.931562207073981</v>
      </c>
      <c r="T275" s="16">
        <v>0.49465398200644428</v>
      </c>
      <c r="U275" s="12">
        <v>19.952093591150767</v>
      </c>
    </row>
    <row r="276" spans="1:21" x14ac:dyDescent="0.25">
      <c r="A276" s="4">
        <v>34274</v>
      </c>
      <c r="B276" s="9">
        <v>130.44738509310162</v>
      </c>
      <c r="C276" s="9">
        <v>23.73684952093625</v>
      </c>
      <c r="D276" s="5">
        <f t="shared" si="7"/>
        <v>11</v>
      </c>
      <c r="Q276" s="4">
        <v>34274</v>
      </c>
      <c r="R276" s="12">
        <v>24.433039510351676</v>
      </c>
      <c r="S276" s="12">
        <v>23.679832104045946</v>
      </c>
      <c r="T276" s="16">
        <v>0.54204537117281748</v>
      </c>
      <c r="U276" s="12">
        <v>23.66308587861305</v>
      </c>
    </row>
    <row r="277" spans="1:21" x14ac:dyDescent="0.25">
      <c r="A277" s="4">
        <v>34304</v>
      </c>
      <c r="B277" s="9">
        <v>3.3340634974936081</v>
      </c>
      <c r="C277" s="9">
        <v>12.492646789459664</v>
      </c>
      <c r="D277" s="5">
        <f t="shared" si="7"/>
        <v>12</v>
      </c>
      <c r="Q277" s="4">
        <v>34304</v>
      </c>
      <c r="R277" s="12">
        <v>22.765872121869112</v>
      </c>
      <c r="S277" s="12">
        <v>24.758797375262166</v>
      </c>
      <c r="T277" s="16">
        <v>0.6113912679291128</v>
      </c>
      <c r="U277" s="12">
        <v>25.449079919880543</v>
      </c>
    </row>
    <row r="278" spans="1:21" x14ac:dyDescent="0.25">
      <c r="A278" s="4">
        <v>34335</v>
      </c>
      <c r="B278" s="9">
        <v>44.909722659107253</v>
      </c>
      <c r="C278" s="9">
        <v>0.3580031354006708</v>
      </c>
      <c r="D278" s="5">
        <f t="shared" si="7"/>
        <v>1</v>
      </c>
      <c r="Q278" s="4">
        <v>34335</v>
      </c>
      <c r="R278" s="12">
        <v>0.61329540502180813</v>
      </c>
      <c r="S278" s="12">
        <v>1.557803314982867E-2</v>
      </c>
      <c r="T278" s="16">
        <v>1.743528316819919E-2</v>
      </c>
      <c r="U278" s="12">
        <v>3.0661836977960845E-3</v>
      </c>
    </row>
    <row r="279" spans="1:21" x14ac:dyDescent="0.25">
      <c r="A279" s="4">
        <v>34366</v>
      </c>
      <c r="B279" s="9">
        <v>37.557194408612929</v>
      </c>
      <c r="C279" s="9">
        <v>17.068792921895085</v>
      </c>
      <c r="D279" s="5">
        <f t="shared" si="7"/>
        <v>2</v>
      </c>
      <c r="Q279" s="4">
        <v>34366</v>
      </c>
      <c r="R279" s="12">
        <v>24.459718493762409</v>
      </c>
      <c r="S279" s="12">
        <v>26.464033776475503</v>
      </c>
      <c r="T279" s="16">
        <v>0.56919787518075027</v>
      </c>
      <c r="U279" s="12">
        <v>25.714768763622335</v>
      </c>
    </row>
    <row r="280" spans="1:21" x14ac:dyDescent="0.25">
      <c r="A280" s="4">
        <v>34394</v>
      </c>
      <c r="B280" s="9">
        <v>17.612794862014237</v>
      </c>
      <c r="C280" s="9">
        <v>4.2969534586609637</v>
      </c>
      <c r="D280" s="5">
        <f t="shared" si="7"/>
        <v>3</v>
      </c>
      <c r="Q280" s="4">
        <v>34394</v>
      </c>
      <c r="R280" s="12">
        <v>4.86029817228723</v>
      </c>
      <c r="S280" s="12">
        <v>2.0255085803115169</v>
      </c>
      <c r="T280" s="16">
        <v>7.9966281986954643E-2</v>
      </c>
      <c r="U280" s="12">
        <v>1.3458013369273085</v>
      </c>
    </row>
    <row r="281" spans="1:21" x14ac:dyDescent="0.25">
      <c r="A281" s="4">
        <v>34425</v>
      </c>
      <c r="B281" s="9">
        <v>22.569256687663852</v>
      </c>
      <c r="C281" s="9">
        <v>17.569326407836019</v>
      </c>
      <c r="D281" s="5">
        <f t="shared" si="7"/>
        <v>4</v>
      </c>
      <c r="Q281" s="4">
        <v>34425</v>
      </c>
      <c r="R281" s="12">
        <v>14.120115153882415</v>
      </c>
      <c r="S281" s="12">
        <v>8.8921727340701757</v>
      </c>
      <c r="T281" s="16">
        <v>0.405870566829301</v>
      </c>
      <c r="U281" s="12">
        <v>10.188530710660114</v>
      </c>
    </row>
    <row r="282" spans="1:21" x14ac:dyDescent="0.25">
      <c r="A282" s="4">
        <v>34455</v>
      </c>
      <c r="B282" s="9">
        <v>15.234197104587158</v>
      </c>
      <c r="C282" s="9">
        <v>50.727289136819074</v>
      </c>
      <c r="D282" s="5">
        <f t="shared" si="7"/>
        <v>5</v>
      </c>
      <c r="Q282" s="4">
        <v>34455</v>
      </c>
      <c r="R282" s="12">
        <v>22.46434722805456</v>
      </c>
      <c r="S282" s="12">
        <v>23.459387433655976</v>
      </c>
      <c r="T282" s="16">
        <v>0.7985218582173792</v>
      </c>
      <c r="U282" s="12">
        <v>24.537608658437218</v>
      </c>
    </row>
    <row r="283" spans="1:21" x14ac:dyDescent="0.25">
      <c r="A283" s="4">
        <v>34486</v>
      </c>
      <c r="B283" s="9">
        <v>5.4893824492895744</v>
      </c>
      <c r="C283" s="9">
        <v>27.863117437485645</v>
      </c>
      <c r="D283" s="5">
        <f t="shared" si="7"/>
        <v>6</v>
      </c>
      <c r="Q283" s="4">
        <v>34486</v>
      </c>
      <c r="R283" s="12">
        <v>10.035259243486484</v>
      </c>
      <c r="S283" s="12">
        <v>6.2102472491893428</v>
      </c>
      <c r="T283" s="16">
        <v>0.56874069155030083</v>
      </c>
      <c r="U283" s="12">
        <v>6.611998371833856</v>
      </c>
    </row>
    <row r="284" spans="1:21" x14ac:dyDescent="0.25">
      <c r="A284" s="4">
        <v>34516</v>
      </c>
      <c r="B284" s="9">
        <v>27.266095036813624</v>
      </c>
      <c r="C284" s="9">
        <v>40.290236401500174</v>
      </c>
      <c r="D284" s="5">
        <f t="shared" si="7"/>
        <v>7</v>
      </c>
      <c r="Q284" s="4">
        <v>34516</v>
      </c>
      <c r="R284" s="12">
        <v>8.1888573256544781</v>
      </c>
      <c r="S284" s="12">
        <v>5.0165080118516299</v>
      </c>
      <c r="T284" s="16">
        <v>0.5110708759542627</v>
      </c>
      <c r="U284" s="12">
        <v>5.9172618693701491</v>
      </c>
    </row>
    <row r="285" spans="1:21" x14ac:dyDescent="0.25">
      <c r="A285" s="4">
        <v>34547</v>
      </c>
      <c r="B285" s="9">
        <v>3.5025859010035636</v>
      </c>
      <c r="C285" s="9">
        <v>5.2755563563721974</v>
      </c>
      <c r="D285" s="5">
        <f t="shared" si="7"/>
        <v>8</v>
      </c>
      <c r="Q285" s="4">
        <v>34547</v>
      </c>
      <c r="R285" s="12">
        <v>1.8133432746894669</v>
      </c>
      <c r="S285" s="12">
        <v>0.55194181877519044</v>
      </c>
      <c r="T285" s="16">
        <v>0.12783151263282272</v>
      </c>
      <c r="U285" s="12">
        <v>0.62026393807468982</v>
      </c>
    </row>
    <row r="286" spans="1:21" x14ac:dyDescent="0.25">
      <c r="A286" s="4">
        <v>34578</v>
      </c>
      <c r="B286" s="9">
        <v>0.51224347403159209</v>
      </c>
      <c r="C286" s="9">
        <v>13.271403314988188</v>
      </c>
      <c r="D286" s="5">
        <f t="shared" si="7"/>
        <v>9</v>
      </c>
      <c r="Q286" s="4">
        <v>34578</v>
      </c>
      <c r="R286" s="12">
        <v>5.3535740081137924</v>
      </c>
      <c r="S286" s="12">
        <v>2.0833709657932213</v>
      </c>
      <c r="T286" s="16">
        <v>0.33544592574500492</v>
      </c>
      <c r="U286" s="12">
        <v>1.0616031847919212</v>
      </c>
    </row>
    <row r="287" spans="1:21" x14ac:dyDescent="0.25">
      <c r="A287" s="4">
        <v>34608</v>
      </c>
      <c r="B287" s="9">
        <v>36.89000336663635</v>
      </c>
      <c r="C287" s="9">
        <v>5.8923976955141688</v>
      </c>
      <c r="D287" s="5">
        <f t="shared" si="7"/>
        <v>10</v>
      </c>
      <c r="Q287" s="4">
        <v>34608</v>
      </c>
      <c r="R287" s="12">
        <v>7.3160210239939332</v>
      </c>
      <c r="S287" s="12">
        <v>6.6641673973276951</v>
      </c>
      <c r="T287" s="16">
        <v>0.18586191524886417</v>
      </c>
      <c r="U287" s="12">
        <v>6.5248965651987856</v>
      </c>
    </row>
    <row r="288" spans="1:21" x14ac:dyDescent="0.25">
      <c r="A288" s="4">
        <v>34639</v>
      </c>
      <c r="B288" s="9">
        <v>2.2334866293989823</v>
      </c>
      <c r="C288" s="9">
        <v>7.7255285862865914</v>
      </c>
      <c r="D288" s="5">
        <f t="shared" si="7"/>
        <v>11</v>
      </c>
      <c r="Q288" s="4">
        <v>34639</v>
      </c>
      <c r="R288" s="12">
        <v>7.9521144969387851</v>
      </c>
      <c r="S288" s="12">
        <v>7.3961488820367611</v>
      </c>
      <c r="T288" s="16">
        <v>0.2636123983721565</v>
      </c>
      <c r="U288" s="12">
        <v>7.2520488702792356</v>
      </c>
    </row>
    <row r="289" spans="1:21" x14ac:dyDescent="0.25">
      <c r="A289" s="4">
        <v>34669</v>
      </c>
      <c r="B289" s="9">
        <v>1.4029602426800245</v>
      </c>
      <c r="C289" s="9">
        <v>11.26356668135319</v>
      </c>
      <c r="D289" s="5">
        <f t="shared" si="7"/>
        <v>12</v>
      </c>
      <c r="Q289" s="4">
        <v>34669</v>
      </c>
      <c r="R289" s="12">
        <v>20.526068096328792</v>
      </c>
      <c r="S289" s="12">
        <v>22.703546252435835</v>
      </c>
      <c r="T289" s="16">
        <v>0.58027507424078295</v>
      </c>
      <c r="U289" s="12">
        <v>23.53953321077897</v>
      </c>
    </row>
    <row r="290" spans="1:21" x14ac:dyDescent="0.25">
      <c r="A290" s="4">
        <v>34700</v>
      </c>
      <c r="B290" s="9">
        <v>1.2818760250345396</v>
      </c>
      <c r="C290" s="9">
        <v>7.0551332628524923</v>
      </c>
      <c r="D290" s="5">
        <f t="shared" si="7"/>
        <v>1</v>
      </c>
      <c r="Q290" s="4">
        <v>34700</v>
      </c>
      <c r="R290" s="12">
        <v>12.086153399414732</v>
      </c>
      <c r="S290" s="12">
        <v>3.6959944608413031</v>
      </c>
      <c r="T290" s="16">
        <v>0.34518508510157814</v>
      </c>
      <c r="U290" s="12">
        <v>3.9929114941532888</v>
      </c>
    </row>
    <row r="291" spans="1:21" x14ac:dyDescent="0.25">
      <c r="A291" s="4">
        <v>34731</v>
      </c>
      <c r="B291" s="9">
        <v>1.6041271218456905</v>
      </c>
      <c r="C291" s="9">
        <v>26.863281174080743</v>
      </c>
      <c r="D291" s="5">
        <f t="shared" si="7"/>
        <v>2</v>
      </c>
      <c r="Q291" s="4">
        <v>34731</v>
      </c>
      <c r="R291" s="12">
        <v>38.495299482715296</v>
      </c>
      <c r="S291" s="12">
        <v>39.26800838848898</v>
      </c>
      <c r="T291" s="16">
        <v>0.73379290925576579</v>
      </c>
      <c r="U291" s="12">
        <v>38.528695586358943</v>
      </c>
    </row>
    <row r="292" spans="1:21" x14ac:dyDescent="0.25">
      <c r="A292" s="4">
        <v>34759</v>
      </c>
      <c r="B292" s="9">
        <v>43.36726050493926</v>
      </c>
      <c r="C292" s="9">
        <v>13.523331822749496</v>
      </c>
      <c r="D292" s="5">
        <f t="shared" si="7"/>
        <v>3</v>
      </c>
      <c r="Q292" s="4">
        <v>34759</v>
      </c>
      <c r="R292" s="12">
        <v>15.296285047924487</v>
      </c>
      <c r="S292" s="12">
        <v>10.652954692876689</v>
      </c>
      <c r="T292" s="16">
        <v>0.38120359728244974</v>
      </c>
      <c r="U292" s="12">
        <v>10.241116911372336</v>
      </c>
    </row>
    <row r="293" spans="1:21" x14ac:dyDescent="0.25">
      <c r="A293" s="4">
        <v>34790</v>
      </c>
      <c r="B293" s="9">
        <v>11.255419218884224</v>
      </c>
      <c r="C293" s="9">
        <v>16.279618851300249</v>
      </c>
      <c r="D293" s="5">
        <f t="shared" si="7"/>
        <v>4</v>
      </c>
      <c r="Q293" s="4">
        <v>34790</v>
      </c>
      <c r="R293" s="12">
        <v>13.08360306512099</v>
      </c>
      <c r="S293" s="12">
        <v>7.8631241247096835</v>
      </c>
      <c r="T293" s="16">
        <v>0.37153461460544029</v>
      </c>
      <c r="U293" s="12">
        <v>9.0195484482694734</v>
      </c>
    </row>
    <row r="294" spans="1:21" x14ac:dyDescent="0.25">
      <c r="A294" s="4">
        <v>34820</v>
      </c>
      <c r="B294" s="9">
        <v>4.3974094129076127</v>
      </c>
      <c r="C294" s="9">
        <v>48.998998309381314</v>
      </c>
      <c r="D294" s="5">
        <f t="shared" si="7"/>
        <v>5</v>
      </c>
      <c r="Q294" s="4">
        <v>34820</v>
      </c>
      <c r="R294" s="12">
        <v>21.698981565523159</v>
      </c>
      <c r="S294" s="12">
        <v>22.175920004262576</v>
      </c>
      <c r="T294" s="16">
        <v>0.78207751373535028</v>
      </c>
      <c r="U294" s="12">
        <v>23.263556018429373</v>
      </c>
    </row>
    <row r="295" spans="1:21" x14ac:dyDescent="0.25">
      <c r="A295" s="4">
        <v>34851</v>
      </c>
      <c r="B295" s="9">
        <v>11.822362127352164</v>
      </c>
      <c r="C295" s="9">
        <v>88.38059185949632</v>
      </c>
      <c r="D295" s="5">
        <f t="shared" si="7"/>
        <v>6</v>
      </c>
      <c r="Q295" s="4">
        <v>34851</v>
      </c>
      <c r="R295" s="12">
        <v>31.83140412743608</v>
      </c>
      <c r="S295" s="12">
        <v>48.260806158107883</v>
      </c>
      <c r="T295" s="16">
        <v>0.95738397657972574</v>
      </c>
      <c r="U295" s="12">
        <v>47.151569971020741</v>
      </c>
    </row>
    <row r="296" spans="1:21" x14ac:dyDescent="0.25">
      <c r="A296" s="4">
        <v>34881</v>
      </c>
      <c r="B296" s="9">
        <v>2.8643198121006388</v>
      </c>
      <c r="C296" s="9">
        <v>13.509517047322342</v>
      </c>
      <c r="D296" s="5">
        <f t="shared" si="7"/>
        <v>7</v>
      </c>
      <c r="Q296" s="4">
        <v>34881</v>
      </c>
      <c r="R296" s="12">
        <v>2.7457646695490845</v>
      </c>
      <c r="S296" s="12">
        <v>0.54001108892694694</v>
      </c>
      <c r="T296" s="16">
        <v>9.1050054432414998E-2</v>
      </c>
      <c r="U296" s="12">
        <v>0.49068169791605021</v>
      </c>
    </row>
    <row r="297" spans="1:21" x14ac:dyDescent="0.25">
      <c r="A297" s="4">
        <v>34912</v>
      </c>
      <c r="B297" s="9">
        <v>2.2529358948023348</v>
      </c>
      <c r="C297" s="9">
        <v>55.708831078783724</v>
      </c>
      <c r="D297" s="5">
        <f t="shared" si="7"/>
        <v>8</v>
      </c>
      <c r="Q297" s="4">
        <v>34912</v>
      </c>
      <c r="R297" s="12">
        <v>19.148546115995085</v>
      </c>
      <c r="S297" s="12">
        <v>22.176960975011546</v>
      </c>
      <c r="T297" s="16">
        <v>0.8945489036074239</v>
      </c>
      <c r="U297" s="12">
        <v>22.136437191245765</v>
      </c>
    </row>
    <row r="298" spans="1:21" x14ac:dyDescent="0.25">
      <c r="A298" s="4">
        <v>34943</v>
      </c>
      <c r="B298" s="9">
        <v>14.290898261811188</v>
      </c>
      <c r="C298" s="9">
        <v>28.78444790829483</v>
      </c>
      <c r="D298" s="5">
        <f t="shared" si="7"/>
        <v>9</v>
      </c>
      <c r="Q298" s="4">
        <v>34943</v>
      </c>
      <c r="R298" s="12">
        <v>11.611407513003442</v>
      </c>
      <c r="S298" s="12">
        <v>7.209009418658419</v>
      </c>
      <c r="T298" s="16">
        <v>0.57337356180044108</v>
      </c>
      <c r="U298" s="12">
        <v>6.0618995000335278</v>
      </c>
    </row>
    <row r="299" spans="1:21" x14ac:dyDescent="0.25">
      <c r="A299" s="4">
        <v>34973</v>
      </c>
      <c r="B299" s="9">
        <v>3.5427765010015522</v>
      </c>
      <c r="C299" s="9">
        <v>29.063919510703844</v>
      </c>
      <c r="D299" s="5">
        <f t="shared" si="7"/>
        <v>10</v>
      </c>
      <c r="Q299" s="4">
        <v>34973</v>
      </c>
      <c r="R299" s="12">
        <v>36.085861336523813</v>
      </c>
      <c r="S299" s="12">
        <v>35.860753844267052</v>
      </c>
      <c r="T299" s="16">
        <v>0.7209175159863257</v>
      </c>
      <c r="U299" s="12">
        <v>36.032523346537637</v>
      </c>
    </row>
    <row r="300" spans="1:21" x14ac:dyDescent="0.25">
      <c r="A300" s="4">
        <v>35004</v>
      </c>
      <c r="B300" s="9">
        <v>4.7017955947661729</v>
      </c>
      <c r="C300" s="9">
        <v>46.868700967757555</v>
      </c>
      <c r="D300" s="5">
        <f t="shared" si="7"/>
        <v>11</v>
      </c>
      <c r="Q300" s="4">
        <v>35004</v>
      </c>
      <c r="R300" s="12">
        <v>48.243336654008935</v>
      </c>
      <c r="S300" s="12">
        <v>47.93734530634557</v>
      </c>
      <c r="T300" s="16">
        <v>0.75462044738640366</v>
      </c>
      <c r="U300" s="12">
        <v>48.112366235135461</v>
      </c>
    </row>
    <row r="301" spans="1:21" x14ac:dyDescent="0.25">
      <c r="A301" s="4">
        <v>35034</v>
      </c>
      <c r="B301" s="9">
        <v>52.212418127652647</v>
      </c>
      <c r="C301" s="9">
        <v>3.0936068999421402</v>
      </c>
      <c r="D301" s="5">
        <f t="shared" si="7"/>
        <v>12</v>
      </c>
      <c r="Q301" s="4">
        <v>35034</v>
      </c>
      <c r="R301" s="12">
        <v>5.6376090884789107</v>
      </c>
      <c r="S301" s="12">
        <v>7.7001599423220304</v>
      </c>
      <c r="T301" s="16">
        <v>0.26693691949906084</v>
      </c>
      <c r="U301" s="12">
        <v>9.2733493040048138</v>
      </c>
    </row>
    <row r="302" spans="1:21" x14ac:dyDescent="0.25">
      <c r="A302" s="4">
        <v>35065</v>
      </c>
      <c r="B302" s="9">
        <v>90.66955607985544</v>
      </c>
      <c r="C302" s="9">
        <v>10.396799690050521</v>
      </c>
      <c r="D302" s="5">
        <f t="shared" si="7"/>
        <v>1</v>
      </c>
      <c r="Q302" s="4">
        <v>35065</v>
      </c>
      <c r="R302" s="12">
        <v>17.810764337870648</v>
      </c>
      <c r="S302" s="12">
        <v>7.5280469638039706</v>
      </c>
      <c r="T302" s="16">
        <v>0.47097562775732099</v>
      </c>
      <c r="U302" s="12">
        <v>8.8252963279667345</v>
      </c>
    </row>
    <row r="303" spans="1:21" x14ac:dyDescent="0.25">
      <c r="A303" s="4">
        <v>35096</v>
      </c>
      <c r="B303" s="9">
        <v>1.5734719996869142</v>
      </c>
      <c r="C303" s="9">
        <v>0.92880459409680605</v>
      </c>
      <c r="D303" s="5">
        <f t="shared" si="7"/>
        <v>2</v>
      </c>
      <c r="Q303" s="4">
        <v>35096</v>
      </c>
      <c r="R303" s="12">
        <v>1.3309845055404659</v>
      </c>
      <c r="S303" s="12">
        <v>2.1015293334880525</v>
      </c>
      <c r="T303" s="16">
        <v>4.5343119437920909E-2</v>
      </c>
      <c r="U303" s="12">
        <v>2.1526916733054606</v>
      </c>
    </row>
    <row r="304" spans="1:21" x14ac:dyDescent="0.25">
      <c r="A304" s="4">
        <v>35125</v>
      </c>
      <c r="B304" s="9">
        <v>40.385983083580136</v>
      </c>
      <c r="C304" s="9">
        <v>39.301458265021971</v>
      </c>
      <c r="D304" s="5">
        <f t="shared" si="7"/>
        <v>3</v>
      </c>
      <c r="Q304" s="4">
        <v>35125</v>
      </c>
      <c r="R304" s="12">
        <v>44.45400854614671</v>
      </c>
      <c r="S304" s="12">
        <v>49.924297728375571</v>
      </c>
      <c r="T304" s="16">
        <v>0.87173073353947195</v>
      </c>
      <c r="U304" s="12">
        <v>51.485937779773764</v>
      </c>
    </row>
    <row r="305" spans="1:21" x14ac:dyDescent="0.25">
      <c r="A305" s="4">
        <v>35156</v>
      </c>
      <c r="B305" s="9">
        <v>2.0941537736834546</v>
      </c>
      <c r="C305" s="9">
        <v>65.20579271504981</v>
      </c>
      <c r="D305" s="5">
        <f t="shared" si="7"/>
        <v>4</v>
      </c>
      <c r="Q305" s="4">
        <v>35156</v>
      </c>
      <c r="R305" s="12">
        <v>52.404587430628361</v>
      </c>
      <c r="S305" s="12">
        <v>73.747277054909901</v>
      </c>
      <c r="T305" s="16">
        <v>0.9573794794707996</v>
      </c>
      <c r="U305" s="12">
        <v>67.698641944910761</v>
      </c>
    </row>
    <row r="306" spans="1:21" x14ac:dyDescent="0.25">
      <c r="A306" s="4">
        <v>35186</v>
      </c>
      <c r="B306" s="9">
        <v>20.722805290398412</v>
      </c>
      <c r="C306" s="9">
        <v>22.08416834626756</v>
      </c>
      <c r="D306" s="5">
        <f t="shared" si="7"/>
        <v>5</v>
      </c>
      <c r="Q306" s="4">
        <v>35186</v>
      </c>
      <c r="R306" s="12">
        <v>9.7798726171882127</v>
      </c>
      <c r="S306" s="12">
        <v>6.0829400956838997</v>
      </c>
      <c r="T306" s="16">
        <v>0.35750020508251873</v>
      </c>
      <c r="U306" s="12">
        <v>6.144665535974525</v>
      </c>
    </row>
    <row r="307" spans="1:21" x14ac:dyDescent="0.25">
      <c r="A307" s="4">
        <v>35217</v>
      </c>
      <c r="B307" s="9">
        <v>1.272452180653179</v>
      </c>
      <c r="C307" s="9">
        <v>103.92207113782094</v>
      </c>
      <c r="D307" s="5">
        <f t="shared" si="7"/>
        <v>6</v>
      </c>
      <c r="Q307" s="4">
        <v>35217</v>
      </c>
      <c r="R307" s="12">
        <v>37.428867294835868</v>
      </c>
      <c r="S307" s="12">
        <v>64.351072850354427</v>
      </c>
      <c r="T307" s="16">
        <v>0.97706954316184169</v>
      </c>
      <c r="U307" s="12">
        <v>59.684801726112951</v>
      </c>
    </row>
    <row r="308" spans="1:21" x14ac:dyDescent="0.25">
      <c r="A308" s="4">
        <v>35247</v>
      </c>
      <c r="B308" s="9">
        <v>2.7178306005780999</v>
      </c>
      <c r="C308" s="9">
        <v>52.635099492014632</v>
      </c>
      <c r="D308" s="5">
        <f t="shared" si="7"/>
        <v>7</v>
      </c>
      <c r="Q308" s="4">
        <v>35247</v>
      </c>
      <c r="R308" s="12">
        <v>10.697909929505592</v>
      </c>
      <c r="S308" s="12">
        <v>8.6530750883271104</v>
      </c>
      <c r="T308" s="16">
        <v>0.66898839069011795</v>
      </c>
      <c r="U308" s="12">
        <v>9.874208043884753</v>
      </c>
    </row>
    <row r="309" spans="1:21" x14ac:dyDescent="0.25">
      <c r="A309" s="4">
        <v>35278</v>
      </c>
      <c r="B309" s="9">
        <v>8.0599739669938945E-3</v>
      </c>
      <c r="C309" s="9">
        <v>9.291077838832198</v>
      </c>
      <c r="D309" s="5">
        <f t="shared" si="7"/>
        <v>8</v>
      </c>
      <c r="Q309" s="4">
        <v>35278</v>
      </c>
      <c r="R309" s="12">
        <v>3.193580425562621</v>
      </c>
      <c r="S309" s="12">
        <v>1.3398128103950122</v>
      </c>
      <c r="T309" s="16">
        <v>0.24051314606732307</v>
      </c>
      <c r="U309" s="12">
        <v>1.5928312089187424</v>
      </c>
    </row>
    <row r="310" spans="1:21" x14ac:dyDescent="0.25">
      <c r="A310" s="4">
        <v>35309</v>
      </c>
      <c r="B310" s="9">
        <v>14.233695127170819</v>
      </c>
      <c r="C310" s="9">
        <v>167.9827962422483</v>
      </c>
      <c r="D310" s="5">
        <f t="shared" si="7"/>
        <v>9</v>
      </c>
      <c r="Q310" s="4">
        <v>35309</v>
      </c>
      <c r="R310" s="12">
        <v>67.762866550603079</v>
      </c>
      <c r="S310" s="12">
        <v>121.95679507787334</v>
      </c>
      <c r="T310" s="16">
        <v>0.99064097282817942</v>
      </c>
      <c r="U310" s="12">
        <v>119.95373863933368</v>
      </c>
    </row>
    <row r="311" spans="1:21" x14ac:dyDescent="0.25">
      <c r="A311" s="4">
        <v>35339</v>
      </c>
      <c r="B311" s="9">
        <v>81.749641625555469</v>
      </c>
      <c r="C311" s="9">
        <v>89.782361309762734</v>
      </c>
      <c r="D311" s="5">
        <f t="shared" si="7"/>
        <v>10</v>
      </c>
      <c r="Q311" s="4">
        <v>35339</v>
      </c>
      <c r="R311" s="12">
        <v>111.47408523122897</v>
      </c>
      <c r="S311" s="12">
        <v>117.80949146027014</v>
      </c>
      <c r="T311" s="16">
        <v>0.98722754274098246</v>
      </c>
      <c r="U311" s="12">
        <v>117.08525360301509</v>
      </c>
    </row>
    <row r="312" spans="1:21" x14ac:dyDescent="0.25">
      <c r="A312" s="4">
        <v>35370</v>
      </c>
      <c r="B312" s="9">
        <v>1.8780522531533062</v>
      </c>
      <c r="C312" s="9">
        <v>13.271400695558638</v>
      </c>
      <c r="D312" s="5">
        <f t="shared" si="7"/>
        <v>11</v>
      </c>
      <c r="Q312" s="4">
        <v>35370</v>
      </c>
      <c r="R312" s="12">
        <v>13.660644276583136</v>
      </c>
      <c r="S312" s="12">
        <v>12.960209901427787</v>
      </c>
      <c r="T312" s="16">
        <v>0.38033846389160653</v>
      </c>
      <c r="U312" s="12">
        <v>12.845427469158341</v>
      </c>
    </row>
    <row r="313" spans="1:21" x14ac:dyDescent="0.25">
      <c r="A313" s="4">
        <v>35400</v>
      </c>
      <c r="B313" s="9">
        <v>3.986122137838517</v>
      </c>
      <c r="C313" s="9">
        <v>2.8575557487690006</v>
      </c>
      <c r="D313" s="5">
        <f t="shared" si="7"/>
        <v>12</v>
      </c>
      <c r="Q313" s="4">
        <v>35400</v>
      </c>
      <c r="R313" s="12">
        <v>5.2074432147137308</v>
      </c>
      <c r="S313" s="12">
        <v>7.2053747941863602</v>
      </c>
      <c r="T313" s="16">
        <v>0.25323912032910134</v>
      </c>
      <c r="U313" s="12">
        <v>8.7764663276215824</v>
      </c>
    </row>
    <row r="314" spans="1:21" x14ac:dyDescent="0.25">
      <c r="A314" s="4">
        <v>35431</v>
      </c>
      <c r="B314" s="9">
        <v>39.859626983152431</v>
      </c>
      <c r="C314" s="9">
        <v>52.902496670089398</v>
      </c>
      <c r="D314" s="5">
        <f t="shared" si="7"/>
        <v>1</v>
      </c>
      <c r="Q314" s="4">
        <v>35431</v>
      </c>
      <c r="R314" s="12">
        <v>90.627301589511561</v>
      </c>
      <c r="S314" s="12">
        <v>148.94590342275382</v>
      </c>
      <c r="T314" s="16">
        <v>0.96824855710679203</v>
      </c>
      <c r="U314" s="12">
        <v>134.63646990245337</v>
      </c>
    </row>
    <row r="315" spans="1:21" x14ac:dyDescent="0.25">
      <c r="A315" s="4">
        <v>35462</v>
      </c>
      <c r="B315" s="9">
        <v>17.681108144972193</v>
      </c>
      <c r="C315" s="9">
        <v>34.275908251260667</v>
      </c>
      <c r="D315" s="5">
        <f t="shared" si="7"/>
        <v>2</v>
      </c>
      <c r="Q315" s="4">
        <v>35462</v>
      </c>
      <c r="R315" s="12">
        <v>49.117654117675123</v>
      </c>
      <c r="S315" s="12">
        <v>48.543099403380218</v>
      </c>
      <c r="T315" s="16">
        <v>0.81502828575860142</v>
      </c>
      <c r="U315" s="12">
        <v>48.003364886758249</v>
      </c>
    </row>
    <row r="316" spans="1:21" x14ac:dyDescent="0.25">
      <c r="A316" s="4">
        <v>35490</v>
      </c>
      <c r="B316" s="9">
        <v>8.7041870327793998</v>
      </c>
      <c r="C316" s="9">
        <v>3.9622721892881048</v>
      </c>
      <c r="D316" s="5">
        <f t="shared" si="7"/>
        <v>3</v>
      </c>
      <c r="Q316" s="4">
        <v>35490</v>
      </c>
      <c r="R316" s="12">
        <v>4.481739089094698</v>
      </c>
      <c r="S316" s="12">
        <v>1.8011290222035687</v>
      </c>
      <c r="T316" s="16">
        <v>7.0564689436318273E-2</v>
      </c>
      <c r="U316" s="12">
        <v>1.1546233506336716</v>
      </c>
    </row>
    <row r="317" spans="1:21" x14ac:dyDescent="0.25">
      <c r="A317" s="4">
        <v>35521</v>
      </c>
      <c r="B317" s="9">
        <v>39.533209347042032</v>
      </c>
      <c r="C317" s="9">
        <v>13.738918594212501</v>
      </c>
      <c r="D317" s="5">
        <f t="shared" si="7"/>
        <v>4</v>
      </c>
      <c r="Q317" s="4">
        <v>35521</v>
      </c>
      <c r="R317" s="12">
        <v>11.041693240645465</v>
      </c>
      <c r="S317" s="12">
        <v>5.9802524244744735</v>
      </c>
      <c r="T317" s="16">
        <v>0.30154572696106346</v>
      </c>
      <c r="U317" s="12">
        <v>6.8443757519171848</v>
      </c>
    </row>
    <row r="318" spans="1:21" x14ac:dyDescent="0.25">
      <c r="A318" s="4">
        <v>35551</v>
      </c>
      <c r="B318" s="9">
        <v>1.6153856539066647</v>
      </c>
      <c r="C318" s="9">
        <v>29.300102476638962</v>
      </c>
      <c r="D318" s="5">
        <f t="shared" si="7"/>
        <v>5</v>
      </c>
      <c r="Q318" s="4">
        <v>35551</v>
      </c>
      <c r="R318" s="12">
        <v>12.975415935937649</v>
      </c>
      <c r="S318" s="12">
        <v>9.625250205990568</v>
      </c>
      <c r="T318" s="16">
        <v>0.50283905886784019</v>
      </c>
      <c r="U318" s="12">
        <v>10.092184633021184</v>
      </c>
    </row>
    <row r="319" spans="1:21" x14ac:dyDescent="0.25">
      <c r="A319" s="4">
        <v>35582</v>
      </c>
      <c r="B319" s="9">
        <v>7.2832809072089644</v>
      </c>
      <c r="C319" s="9">
        <v>18.063506496891666</v>
      </c>
      <c r="D319" s="5">
        <f t="shared" si="7"/>
        <v>6</v>
      </c>
      <c r="Q319" s="4">
        <v>35582</v>
      </c>
      <c r="R319" s="12">
        <v>6.5058036290955732</v>
      </c>
      <c r="S319" s="12">
        <v>2.8758638264524072</v>
      </c>
      <c r="T319" s="16">
        <v>0.39425363409863751</v>
      </c>
      <c r="U319" s="12">
        <v>2.7181655253039305</v>
      </c>
    </row>
    <row r="320" spans="1:21" x14ac:dyDescent="0.25">
      <c r="A320" s="4">
        <v>35612</v>
      </c>
      <c r="B320" s="9">
        <v>1.0270017899446511</v>
      </c>
      <c r="C320" s="9">
        <v>49.177370038913601</v>
      </c>
      <c r="D320" s="5">
        <f t="shared" si="7"/>
        <v>7</v>
      </c>
      <c r="Q320" s="4">
        <v>35612</v>
      </c>
      <c r="R320" s="12">
        <v>9.9951378514270584</v>
      </c>
      <c r="S320" s="12">
        <v>7.5331429374371073</v>
      </c>
      <c r="T320" s="16">
        <v>0.62913306994373586</v>
      </c>
      <c r="U320" s="12">
        <v>8.6993489743950878</v>
      </c>
    </row>
    <row r="321" spans="1:21" x14ac:dyDescent="0.25">
      <c r="A321" s="4">
        <v>35643</v>
      </c>
      <c r="B321" s="9">
        <v>12.174154270000868</v>
      </c>
      <c r="C321" s="9">
        <v>28.48482192130913</v>
      </c>
      <c r="D321" s="5">
        <f t="shared" si="7"/>
        <v>8</v>
      </c>
      <c r="Q321" s="4">
        <v>35643</v>
      </c>
      <c r="R321" s="12">
        <v>9.7909598102090367</v>
      </c>
      <c r="S321" s="12">
        <v>7.7523872632276438</v>
      </c>
      <c r="T321" s="16">
        <v>0.64873563183189331</v>
      </c>
      <c r="U321" s="12">
        <v>8.8419912887485115</v>
      </c>
    </row>
    <row r="322" spans="1:21" x14ac:dyDescent="0.25">
      <c r="A322" s="4">
        <v>35674</v>
      </c>
      <c r="B322" s="9">
        <v>10.382649790101464</v>
      </c>
      <c r="C322" s="9">
        <v>55.067484664784594</v>
      </c>
      <c r="D322" s="5">
        <f t="shared" si="7"/>
        <v>9</v>
      </c>
      <c r="Q322" s="4">
        <v>35674</v>
      </c>
      <c r="R322" s="12">
        <v>22.213766517113648</v>
      </c>
      <c r="S322" s="12">
        <v>20.398420575675637</v>
      </c>
      <c r="T322" s="16">
        <v>0.79511713142525264</v>
      </c>
      <c r="U322" s="12">
        <v>21.144598698786648</v>
      </c>
    </row>
    <row r="323" spans="1:21" x14ac:dyDescent="0.25">
      <c r="A323" s="4">
        <v>35704</v>
      </c>
      <c r="B323" s="9">
        <v>33.046030333828469</v>
      </c>
      <c r="C323" s="9">
        <v>20.613666276313655</v>
      </c>
      <c r="D323" s="5">
        <f t="shared" ref="D323:D386" si="8">MONTH(A323)</f>
        <v>10</v>
      </c>
      <c r="Q323" s="4">
        <v>35704</v>
      </c>
      <c r="R323" s="12">
        <v>25.593998173937884</v>
      </c>
      <c r="S323" s="12">
        <v>24.962071786884216</v>
      </c>
      <c r="T323" s="16">
        <v>0.58054974694494288</v>
      </c>
      <c r="U323" s="12">
        <v>25.041621174322621</v>
      </c>
    </row>
    <row r="324" spans="1:21" x14ac:dyDescent="0.25">
      <c r="A324" s="4">
        <v>35735</v>
      </c>
      <c r="B324" s="9">
        <v>32.895512356095985</v>
      </c>
      <c r="C324" s="9">
        <v>12.11473125037902</v>
      </c>
      <c r="D324" s="5">
        <f t="shared" si="8"/>
        <v>11</v>
      </c>
      <c r="Q324" s="4">
        <v>35735</v>
      </c>
      <c r="R324" s="12">
        <v>12.470050291919602</v>
      </c>
      <c r="S324" s="12">
        <v>11.791164044240531</v>
      </c>
      <c r="T324" s="16">
        <v>0.3582767635468444</v>
      </c>
      <c r="U324" s="12">
        <v>11.667826799504514</v>
      </c>
    </row>
    <row r="325" spans="1:21" x14ac:dyDescent="0.25">
      <c r="A325" s="4">
        <v>35765</v>
      </c>
      <c r="B325" s="9">
        <v>4.5672338807611865</v>
      </c>
      <c r="C325" s="9">
        <v>3.7395572045500911</v>
      </c>
      <c r="D325" s="5">
        <f t="shared" si="8"/>
        <v>12</v>
      </c>
      <c r="Q325" s="4">
        <v>35765</v>
      </c>
      <c r="R325" s="12">
        <v>6.8147513129908921</v>
      </c>
      <c r="S325" s="12">
        <v>9.0242362389291202</v>
      </c>
      <c r="T325" s="16">
        <v>0.30224892357775723</v>
      </c>
      <c r="U325" s="12">
        <v>10.586641704980655</v>
      </c>
    </row>
    <row r="326" spans="1:21" x14ac:dyDescent="0.25">
      <c r="A326" s="4">
        <v>35796</v>
      </c>
      <c r="B326" s="9">
        <v>0.74003341986399751</v>
      </c>
      <c r="C326" s="9">
        <v>18.798803101672359</v>
      </c>
      <c r="D326" s="5">
        <f t="shared" si="8"/>
        <v>1</v>
      </c>
      <c r="Q326" s="4">
        <v>35796</v>
      </c>
      <c r="R326" s="12">
        <v>32.204241868614012</v>
      </c>
      <c r="S326" s="12">
        <v>22.316169297521551</v>
      </c>
      <c r="T326" s="16">
        <v>0.69362101597793258</v>
      </c>
      <c r="U326" s="12">
        <v>26.596448977317554</v>
      </c>
    </row>
    <row r="327" spans="1:21" x14ac:dyDescent="0.25">
      <c r="A327" s="4">
        <v>35827</v>
      </c>
      <c r="B327" s="9">
        <v>39.285996930358614</v>
      </c>
      <c r="C327" s="9">
        <v>12.121106226015334</v>
      </c>
      <c r="D327" s="5">
        <f t="shared" si="8"/>
        <v>2</v>
      </c>
      <c r="Q327" s="4">
        <v>35827</v>
      </c>
      <c r="R327" s="12">
        <v>17.369643388257181</v>
      </c>
      <c r="S327" s="12">
        <v>19.64708124039403</v>
      </c>
      <c r="T327" s="16">
        <v>0.45048093757255026</v>
      </c>
      <c r="U327" s="12">
        <v>19.027065465783306</v>
      </c>
    </row>
    <row r="328" spans="1:21" x14ac:dyDescent="0.25">
      <c r="A328" s="4">
        <v>35855</v>
      </c>
      <c r="B328" s="9">
        <v>4.6966246766181277</v>
      </c>
      <c r="C328" s="9">
        <v>33.332738857965332</v>
      </c>
      <c r="D328" s="5">
        <f t="shared" si="8"/>
        <v>3</v>
      </c>
      <c r="Q328" s="4">
        <v>35855</v>
      </c>
      <c r="R328" s="12">
        <v>37.702770417993264</v>
      </c>
      <c r="S328" s="12">
        <v>39.33087025001916</v>
      </c>
      <c r="T328" s="16">
        <v>0.80974577981488571</v>
      </c>
      <c r="U328" s="12">
        <v>40.825065835766615</v>
      </c>
    </row>
    <row r="329" spans="1:21" x14ac:dyDescent="0.25">
      <c r="A329" s="4">
        <v>35886</v>
      </c>
      <c r="B329" s="9">
        <v>4.9863855689493661</v>
      </c>
      <c r="C329" s="9">
        <v>1.0143235004813882</v>
      </c>
      <c r="D329" s="5">
        <f t="shared" si="8"/>
        <v>4</v>
      </c>
      <c r="Q329" s="4">
        <v>35886</v>
      </c>
      <c r="R329" s="12">
        <v>0.8151914477323644</v>
      </c>
      <c r="S329" s="12">
        <v>8.9329897077651613E-2</v>
      </c>
      <c r="T329" s="16">
        <v>4.1784903331282715E-3</v>
      </c>
      <c r="U329" s="12">
        <v>5.3720115136477675E-2</v>
      </c>
    </row>
    <row r="330" spans="1:21" x14ac:dyDescent="0.25">
      <c r="A330" s="4">
        <v>35916</v>
      </c>
      <c r="B330" s="9">
        <v>79.72137515291854</v>
      </c>
      <c r="C330" s="9">
        <v>20.974881788016752</v>
      </c>
      <c r="D330" s="5">
        <f t="shared" si="8"/>
        <v>5</v>
      </c>
      <c r="Q330" s="4">
        <v>35916</v>
      </c>
      <c r="R330" s="12">
        <v>9.2886301549161132</v>
      </c>
      <c r="S330" s="12">
        <v>5.5948168628876394</v>
      </c>
      <c r="T330" s="16">
        <v>0.33376172544447885</v>
      </c>
      <c r="U330" s="12">
        <v>5.5971285134370321</v>
      </c>
    </row>
    <row r="331" spans="1:21" x14ac:dyDescent="0.25">
      <c r="A331" s="4">
        <v>35947</v>
      </c>
      <c r="B331" s="9">
        <v>1.894370602830342</v>
      </c>
      <c r="C331" s="9">
        <v>13.256603825885156</v>
      </c>
      <c r="D331" s="5">
        <f t="shared" si="8"/>
        <v>6</v>
      </c>
      <c r="Q331" s="4">
        <v>35947</v>
      </c>
      <c r="R331" s="12">
        <v>4.7745359570561101</v>
      </c>
      <c r="S331" s="12">
        <v>1.6599428036408108</v>
      </c>
      <c r="T331" s="16">
        <v>0.29117413774529022</v>
      </c>
      <c r="U331" s="12">
        <v>1.3690494562528541</v>
      </c>
    </row>
    <row r="332" spans="1:21" x14ac:dyDescent="0.25">
      <c r="A332" s="4">
        <v>35977</v>
      </c>
      <c r="B332" s="9">
        <v>1.2225330676139157</v>
      </c>
      <c r="C332" s="9">
        <v>79.596245086534353</v>
      </c>
      <c r="D332" s="5">
        <f t="shared" si="8"/>
        <v>7</v>
      </c>
      <c r="Q332" s="4">
        <v>35977</v>
      </c>
      <c r="R332" s="12">
        <v>16.177673622366406</v>
      </c>
      <c r="S332" s="12">
        <v>20.116398447877021</v>
      </c>
      <c r="T332" s="16">
        <v>0.87482054887200289</v>
      </c>
      <c r="U332" s="12">
        <v>20.34799381463084</v>
      </c>
    </row>
    <row r="333" spans="1:21" x14ac:dyDescent="0.25">
      <c r="A333" s="4">
        <v>36008</v>
      </c>
      <c r="B333" s="9">
        <v>3.3335256571976717</v>
      </c>
      <c r="C333" s="9">
        <v>19.954990985421944</v>
      </c>
      <c r="D333" s="5">
        <f t="shared" si="8"/>
        <v>8</v>
      </c>
      <c r="Q333" s="4">
        <v>36008</v>
      </c>
      <c r="R333" s="12">
        <v>6.859039361070737</v>
      </c>
      <c r="S333" s="12">
        <v>4.4385987690568793</v>
      </c>
      <c r="T333" s="16">
        <v>0.49824376041201102</v>
      </c>
      <c r="U333" s="12">
        <v>5.2563273680395053</v>
      </c>
    </row>
    <row r="334" spans="1:21" x14ac:dyDescent="0.25">
      <c r="A334" s="4">
        <v>36039</v>
      </c>
      <c r="B334" s="9">
        <v>4.7637174579926169</v>
      </c>
      <c r="C334" s="9">
        <v>7.1422628580178076</v>
      </c>
      <c r="D334" s="5">
        <f t="shared" si="8"/>
        <v>9</v>
      </c>
      <c r="Q334" s="4">
        <v>36039</v>
      </c>
      <c r="R334" s="12">
        <v>2.8811295903137655</v>
      </c>
      <c r="S334" s="12">
        <v>0.7715037621980857</v>
      </c>
      <c r="T334" s="16">
        <v>0.20389593123765182</v>
      </c>
      <c r="U334" s="12">
        <v>0.22457578671214834</v>
      </c>
    </row>
    <row r="335" spans="1:21" x14ac:dyDescent="0.25">
      <c r="A335" s="4">
        <v>36069</v>
      </c>
      <c r="B335" s="9">
        <v>1.1742796560812283</v>
      </c>
      <c r="C335" s="9">
        <v>23.769487018114617</v>
      </c>
      <c r="D335" s="5">
        <f t="shared" si="8"/>
        <v>10</v>
      </c>
      <c r="Q335" s="4">
        <v>36069</v>
      </c>
      <c r="R335" s="12">
        <v>29.512275942688742</v>
      </c>
      <c r="S335" s="12">
        <v>29.008170605153563</v>
      </c>
      <c r="T335" s="16">
        <v>0.63926436877761317</v>
      </c>
      <c r="U335" s="12">
        <v>29.128107875331619</v>
      </c>
    </row>
    <row r="336" spans="1:21" x14ac:dyDescent="0.25">
      <c r="A336" s="4">
        <v>36100</v>
      </c>
      <c r="B336" s="9">
        <v>52.891457044697226</v>
      </c>
      <c r="C336" s="9">
        <v>11.333133440763138</v>
      </c>
      <c r="D336" s="5">
        <f t="shared" si="8"/>
        <v>11</v>
      </c>
      <c r="Q336" s="4">
        <v>36100</v>
      </c>
      <c r="R336" s="12">
        <v>11.665528607325129</v>
      </c>
      <c r="S336" s="12">
        <v>11.003496224792098</v>
      </c>
      <c r="T336" s="16">
        <v>0.34275775782581208</v>
      </c>
      <c r="U336" s="12">
        <v>10.874933598659741</v>
      </c>
    </row>
    <row r="337" spans="1:21" x14ac:dyDescent="0.25">
      <c r="A337" s="4">
        <v>36130</v>
      </c>
      <c r="B337" s="9">
        <v>57.901911198206321</v>
      </c>
      <c r="C337" s="9">
        <v>30.765365841394996</v>
      </c>
      <c r="D337" s="5">
        <f t="shared" si="8"/>
        <v>12</v>
      </c>
      <c r="Q337" s="4">
        <v>36130</v>
      </c>
      <c r="R337" s="12">
        <v>56.065011388832552</v>
      </c>
      <c r="S337" s="12">
        <v>52.630856621284444</v>
      </c>
      <c r="T337" s="16">
        <v>0.86727380956033351</v>
      </c>
      <c r="U337" s="12">
        <v>51.450399642153926</v>
      </c>
    </row>
    <row r="338" spans="1:21" x14ac:dyDescent="0.25">
      <c r="A338" s="4">
        <v>36161</v>
      </c>
      <c r="B338" s="9">
        <v>33.177096539030686</v>
      </c>
      <c r="C338" s="9">
        <v>17.82993500779202</v>
      </c>
      <c r="D338" s="5">
        <f t="shared" si="8"/>
        <v>1</v>
      </c>
      <c r="Q338" s="4">
        <v>36161</v>
      </c>
      <c r="R338" s="12">
        <v>30.544473304341441</v>
      </c>
      <c r="S338" s="12">
        <v>20.251525807877879</v>
      </c>
      <c r="T338" s="16">
        <v>0.67354732699229536</v>
      </c>
      <c r="U338" s="12">
        <v>24.232545752182247</v>
      </c>
    </row>
    <row r="339" spans="1:21" x14ac:dyDescent="0.25">
      <c r="A339" s="4">
        <v>36192</v>
      </c>
      <c r="B339" s="9">
        <v>38.305853571146542</v>
      </c>
      <c r="C339" s="9">
        <v>5.090293451463336</v>
      </c>
      <c r="D339" s="5">
        <f t="shared" si="8"/>
        <v>2</v>
      </c>
      <c r="Q339" s="4">
        <v>36192</v>
      </c>
      <c r="R339" s="12">
        <v>7.2944317411996513</v>
      </c>
      <c r="S339" s="12">
        <v>9.2347133858372707</v>
      </c>
      <c r="T339" s="16">
        <v>0.22298127310324667</v>
      </c>
      <c r="U339" s="12">
        <v>8.9891362271887694</v>
      </c>
    </row>
    <row r="340" spans="1:21" x14ac:dyDescent="0.25">
      <c r="A340" s="4">
        <v>36220</v>
      </c>
      <c r="B340" s="9">
        <v>90.830083894152878</v>
      </c>
      <c r="C340" s="9">
        <v>29.58962694076914</v>
      </c>
      <c r="D340" s="5">
        <f t="shared" si="8"/>
        <v>3</v>
      </c>
      <c r="Q340" s="4">
        <v>36220</v>
      </c>
      <c r="R340" s="12">
        <v>33.468924232588115</v>
      </c>
      <c r="S340" s="12">
        <v>33.100321236003438</v>
      </c>
      <c r="T340" s="16">
        <v>0.75800243017410784</v>
      </c>
      <c r="U340" s="12">
        <v>34.3897323138657</v>
      </c>
    </row>
    <row r="341" spans="1:21" x14ac:dyDescent="0.25">
      <c r="A341" s="4">
        <v>36251</v>
      </c>
      <c r="B341" s="9">
        <v>15.200990498590672</v>
      </c>
      <c r="C341" s="9">
        <v>14.6977812870081</v>
      </c>
      <c r="D341" s="5">
        <f t="shared" si="8"/>
        <v>4</v>
      </c>
      <c r="Q341" s="4">
        <v>36251</v>
      </c>
      <c r="R341" s="12">
        <v>11.81231194990896</v>
      </c>
      <c r="S341" s="12">
        <v>6.6678146750018419</v>
      </c>
      <c r="T341" s="16">
        <v>0.3282604876534802</v>
      </c>
      <c r="U341" s="12">
        <v>7.6440482322712944</v>
      </c>
    </row>
    <row r="342" spans="1:21" x14ac:dyDescent="0.25">
      <c r="A342" s="4">
        <v>36281</v>
      </c>
      <c r="B342" s="9">
        <v>4.9341473125116231</v>
      </c>
      <c r="C342" s="9">
        <v>30.760304292206182</v>
      </c>
      <c r="D342" s="5">
        <f t="shared" si="8"/>
        <v>5</v>
      </c>
      <c r="Q342" s="4">
        <v>36281</v>
      </c>
      <c r="R342" s="12">
        <v>13.622059609709858</v>
      </c>
      <c r="S342" s="12">
        <v>10.415845057929225</v>
      </c>
      <c r="T342" s="16">
        <v>0.52973275247874041</v>
      </c>
      <c r="U342" s="12">
        <v>10.961805338050224</v>
      </c>
    </row>
    <row r="343" spans="1:21" x14ac:dyDescent="0.25">
      <c r="A343" s="4">
        <v>36312</v>
      </c>
      <c r="B343" s="9">
        <v>2.1985930743230666</v>
      </c>
      <c r="C343" s="9">
        <v>16.909921596184503</v>
      </c>
      <c r="D343" s="5">
        <f t="shared" si="8"/>
        <v>6</v>
      </c>
      <c r="Q343" s="4">
        <v>36312</v>
      </c>
      <c r="R343" s="12">
        <v>6.0903252260080016</v>
      </c>
      <c r="S343" s="12">
        <v>2.5577611155332072</v>
      </c>
      <c r="T343" s="16">
        <v>0.37051875508671039</v>
      </c>
      <c r="U343" s="12">
        <v>2.3563908080311426</v>
      </c>
    </row>
    <row r="344" spans="1:21" x14ac:dyDescent="0.25">
      <c r="A344" s="4">
        <v>36342</v>
      </c>
      <c r="B344" s="9">
        <v>32.455917411374401</v>
      </c>
      <c r="C344" s="9">
        <v>39.215935702147412</v>
      </c>
      <c r="D344" s="5">
        <f t="shared" si="8"/>
        <v>7</v>
      </c>
      <c r="Q344" s="4">
        <v>36342</v>
      </c>
      <c r="R344" s="12">
        <v>7.9705092607738512</v>
      </c>
      <c r="S344" s="12">
        <v>4.7474468844917821</v>
      </c>
      <c r="T344" s="16">
        <v>0.49534542758795758</v>
      </c>
      <c r="U344" s="12">
        <v>5.6069350628575263</v>
      </c>
    </row>
    <row r="345" spans="1:21" x14ac:dyDescent="0.25">
      <c r="A345" s="4">
        <v>36373</v>
      </c>
      <c r="B345" s="9">
        <v>27.081123971304159</v>
      </c>
      <c r="C345" s="9">
        <v>6.4652842065553608</v>
      </c>
      <c r="D345" s="5">
        <f t="shared" si="8"/>
        <v>8</v>
      </c>
      <c r="Q345" s="4">
        <v>36373</v>
      </c>
      <c r="R345" s="12">
        <v>2.2222830812436234</v>
      </c>
      <c r="S345" s="12">
        <v>0.75907477963436787</v>
      </c>
      <c r="T345" s="16">
        <v>0.1614621632730564</v>
      </c>
      <c r="U345" s="12">
        <v>0.87483458979775253</v>
      </c>
    </row>
    <row r="346" spans="1:21" x14ac:dyDescent="0.25">
      <c r="A346" s="4">
        <v>36404</v>
      </c>
      <c r="B346" s="9">
        <v>3.4416560812075732</v>
      </c>
      <c r="C346" s="9">
        <v>6.2467447108143004</v>
      </c>
      <c r="D346" s="5">
        <f t="shared" si="8"/>
        <v>9</v>
      </c>
      <c r="Q346" s="4">
        <v>36404</v>
      </c>
      <c r="R346" s="12">
        <v>2.5198849982480178</v>
      </c>
      <c r="S346" s="12">
        <v>0.62237531909989174</v>
      </c>
      <c r="T346" s="16">
        <v>0.18216163814428984</v>
      </c>
      <c r="U346" s="12">
        <v>0.15833025731545164</v>
      </c>
    </row>
    <row r="347" spans="1:21" x14ac:dyDescent="0.25">
      <c r="A347" s="4">
        <v>36434</v>
      </c>
      <c r="B347" s="9">
        <v>30.454703070604527</v>
      </c>
      <c r="C347" s="9">
        <v>2.4949112208156432</v>
      </c>
      <c r="D347" s="5">
        <f t="shared" si="8"/>
        <v>10</v>
      </c>
      <c r="Q347" s="4">
        <v>36434</v>
      </c>
      <c r="R347" s="12">
        <v>3.0976902591590738</v>
      </c>
      <c r="S347" s="12">
        <v>2.6924413812240755</v>
      </c>
      <c r="T347" s="16">
        <v>7.161332813584402E-2</v>
      </c>
      <c r="U347" s="12">
        <v>2.5575648914062232</v>
      </c>
    </row>
    <row r="348" spans="1:21" x14ac:dyDescent="0.25">
      <c r="A348" s="4">
        <v>36465</v>
      </c>
      <c r="B348" s="9">
        <v>32.438150993196032</v>
      </c>
      <c r="C348" s="9">
        <v>37.25247297405194</v>
      </c>
      <c r="D348" s="5">
        <f t="shared" si="8"/>
        <v>11</v>
      </c>
      <c r="Q348" s="4">
        <v>36465</v>
      </c>
      <c r="R348" s="12">
        <v>38.345069476491275</v>
      </c>
      <c r="S348" s="12">
        <v>37.782336560253185</v>
      </c>
      <c r="T348" s="16">
        <v>0.68343844299458945</v>
      </c>
      <c r="U348" s="12">
        <v>37.889977877844885</v>
      </c>
    </row>
    <row r="349" spans="1:21" x14ac:dyDescent="0.25">
      <c r="A349" s="4">
        <v>36495</v>
      </c>
      <c r="B349" s="9">
        <v>32.264853463097474</v>
      </c>
      <c r="C349" s="9">
        <v>1.1166542863339954</v>
      </c>
      <c r="D349" s="5">
        <f t="shared" si="8"/>
        <v>12</v>
      </c>
      <c r="Q349" s="4">
        <v>36495</v>
      </c>
      <c r="R349" s="12">
        <v>2.0349257539615668</v>
      </c>
      <c r="S349" s="12">
        <v>3.2824522369568494</v>
      </c>
      <c r="T349" s="16">
        <v>0.13288540957105807</v>
      </c>
      <c r="U349" s="12">
        <v>4.6372094695923209</v>
      </c>
    </row>
    <row r="350" spans="1:21" x14ac:dyDescent="0.25">
      <c r="A350" s="4">
        <v>36526</v>
      </c>
      <c r="B350" s="9">
        <v>5.3315488364315229</v>
      </c>
      <c r="C350" s="9">
        <v>0.12445541989485269</v>
      </c>
      <c r="D350" s="5">
        <f t="shared" si="8"/>
        <v>1</v>
      </c>
      <c r="Q350" s="4">
        <v>36526</v>
      </c>
      <c r="R350" s="12">
        <v>0.21320466108808794</v>
      </c>
      <c r="S350" s="12">
        <v>2.2419429971100181E-3</v>
      </c>
      <c r="T350" s="16">
        <v>5.6285893625823364E-3</v>
      </c>
      <c r="U350" s="12">
        <v>2.0613144411674286E-4</v>
      </c>
    </row>
    <row r="351" spans="1:21" x14ac:dyDescent="0.25">
      <c r="A351" s="4">
        <v>36557</v>
      </c>
      <c r="B351" s="9">
        <v>12.454588278655519</v>
      </c>
      <c r="C351" s="9">
        <v>23.252012772317848</v>
      </c>
      <c r="D351" s="5">
        <f t="shared" si="8"/>
        <v>2</v>
      </c>
      <c r="Q351" s="4">
        <v>36557</v>
      </c>
      <c r="R351" s="12">
        <v>33.320322616059819</v>
      </c>
      <c r="S351" s="12">
        <v>34.632300419145402</v>
      </c>
      <c r="T351" s="16">
        <v>0.68210936347986673</v>
      </c>
      <c r="U351" s="12">
        <v>33.85247389687332</v>
      </c>
    </row>
    <row r="352" spans="1:21" x14ac:dyDescent="0.25">
      <c r="A352" s="4">
        <v>36586</v>
      </c>
      <c r="B352" s="9">
        <v>10.459704925572067</v>
      </c>
      <c r="C352" s="9">
        <v>24.690814598019735</v>
      </c>
      <c r="D352" s="5">
        <f t="shared" si="8"/>
        <v>3</v>
      </c>
      <c r="Q352" s="4">
        <v>36586</v>
      </c>
      <c r="R352" s="12">
        <v>27.927861499443516</v>
      </c>
      <c r="S352" s="12">
        <v>25.469618912748789</v>
      </c>
      <c r="T352" s="16">
        <v>0.67168144554422127</v>
      </c>
      <c r="U352" s="12">
        <v>26.333657028454621</v>
      </c>
    </row>
    <row r="353" spans="1:21" x14ac:dyDescent="0.25">
      <c r="A353" s="4">
        <v>36617</v>
      </c>
      <c r="B353" s="9">
        <v>8.0308800191607208</v>
      </c>
      <c r="C353" s="9">
        <v>5.9581992115545797</v>
      </c>
      <c r="D353" s="5">
        <f t="shared" si="8"/>
        <v>4</v>
      </c>
      <c r="Q353" s="4">
        <v>36617</v>
      </c>
      <c r="R353" s="12">
        <v>4.7884851714861085</v>
      </c>
      <c r="S353" s="12">
        <v>1.5538487899828552</v>
      </c>
      <c r="T353" s="16">
        <v>8.9642021682820622E-2</v>
      </c>
      <c r="U353" s="12">
        <v>1.6093395397252714</v>
      </c>
    </row>
    <row r="354" spans="1:21" x14ac:dyDescent="0.25">
      <c r="A354" s="4">
        <v>36647</v>
      </c>
      <c r="B354" s="9">
        <v>12.44891006122131</v>
      </c>
      <c r="C354" s="9">
        <v>13.852641139947043</v>
      </c>
      <c r="D354" s="5">
        <f t="shared" si="8"/>
        <v>5</v>
      </c>
      <c r="Q354" s="4">
        <v>36647</v>
      </c>
      <c r="R354" s="12">
        <v>6.1345785648840128</v>
      </c>
      <c r="S354" s="12">
        <v>2.853351314519005</v>
      </c>
      <c r="T354" s="16">
        <v>0.18044494994717497</v>
      </c>
      <c r="U354" s="12">
        <v>2.5577082291738322</v>
      </c>
    </row>
    <row r="355" spans="1:21" x14ac:dyDescent="0.25">
      <c r="A355" s="4">
        <v>36678</v>
      </c>
      <c r="B355" s="9">
        <v>0.39365858525395375</v>
      </c>
      <c r="C355" s="9">
        <v>11.731541808446002</v>
      </c>
      <c r="D355" s="5">
        <f t="shared" si="8"/>
        <v>6</v>
      </c>
      <c r="Q355" s="4">
        <v>36678</v>
      </c>
      <c r="R355" s="12">
        <v>4.2252653041317298</v>
      </c>
      <c r="S355" s="12">
        <v>1.3360245267556823</v>
      </c>
      <c r="T355" s="16">
        <v>0.25636084404579401</v>
      </c>
      <c r="U355" s="12">
        <v>1.0328140171757429</v>
      </c>
    </row>
    <row r="356" spans="1:21" x14ac:dyDescent="0.25">
      <c r="A356" s="4">
        <v>36708</v>
      </c>
      <c r="B356" s="9">
        <v>1.822118790486543</v>
      </c>
      <c r="C356" s="9">
        <v>117.08825854629029</v>
      </c>
      <c r="D356" s="5">
        <f t="shared" si="8"/>
        <v>7</v>
      </c>
      <c r="Q356" s="4">
        <v>36708</v>
      </c>
      <c r="R356" s="12">
        <v>23.79780138766359</v>
      </c>
      <c r="S356" s="12">
        <v>44.20384185669726</v>
      </c>
      <c r="T356" s="16">
        <v>0.97245091427101082</v>
      </c>
      <c r="U356" s="12">
        <v>37.406043232889076</v>
      </c>
    </row>
    <row r="357" spans="1:21" x14ac:dyDescent="0.25">
      <c r="A357" s="4">
        <v>36739</v>
      </c>
      <c r="B357" s="9">
        <v>1.083515159735954</v>
      </c>
      <c r="C357" s="9">
        <v>2.8080109976404857</v>
      </c>
      <c r="D357" s="5">
        <f t="shared" si="8"/>
        <v>8</v>
      </c>
      <c r="Q357" s="4">
        <v>36739</v>
      </c>
      <c r="R357" s="12">
        <v>0.96518499924184986</v>
      </c>
      <c r="S357" s="12">
        <v>0.20547352499037769</v>
      </c>
      <c r="T357" s="16">
        <v>6.0001366663977693E-2</v>
      </c>
      <c r="U357" s="12">
        <v>0.20744981291487161</v>
      </c>
    </row>
    <row r="358" spans="1:21" x14ac:dyDescent="0.25">
      <c r="A358" s="4">
        <v>36770</v>
      </c>
      <c r="B358" s="9">
        <v>13.190824378349649</v>
      </c>
      <c r="C358" s="9">
        <v>25.26008254434258</v>
      </c>
      <c r="D358" s="5">
        <f t="shared" si="8"/>
        <v>9</v>
      </c>
      <c r="Q358" s="4">
        <v>36770</v>
      </c>
      <c r="R358" s="12">
        <v>10.18970776055582</v>
      </c>
      <c r="S358" s="12">
        <v>5.8469458764701043</v>
      </c>
      <c r="T358" s="16">
        <v>0.528669409260351</v>
      </c>
      <c r="U358" s="12">
        <v>4.602246733319137</v>
      </c>
    </row>
    <row r="359" spans="1:21" x14ac:dyDescent="0.25">
      <c r="A359" s="4">
        <v>36800</v>
      </c>
      <c r="B359" s="9">
        <v>49.385766170075009</v>
      </c>
      <c r="C359" s="9">
        <v>17.478608552722992</v>
      </c>
      <c r="D359" s="5">
        <f t="shared" si="8"/>
        <v>10</v>
      </c>
      <c r="Q359" s="4">
        <v>36800</v>
      </c>
      <c r="R359" s="12">
        <v>21.701499839230276</v>
      </c>
      <c r="S359" s="12">
        <v>20.976031314464905</v>
      </c>
      <c r="T359" s="16">
        <v>0.51376130012806209</v>
      </c>
      <c r="U359" s="12">
        <v>21.009508861247696</v>
      </c>
    </row>
    <row r="360" spans="1:21" x14ac:dyDescent="0.25">
      <c r="A360" s="4">
        <v>36831</v>
      </c>
      <c r="B360" s="9">
        <v>0.64081587889982883</v>
      </c>
      <c r="C360" s="9">
        <v>27.508160880240979</v>
      </c>
      <c r="D360" s="5">
        <f t="shared" si="8"/>
        <v>11</v>
      </c>
      <c r="Q360" s="4">
        <v>36831</v>
      </c>
      <c r="R360" s="12">
        <v>28.314961555922956</v>
      </c>
      <c r="S360" s="12">
        <v>27.590883502695966</v>
      </c>
      <c r="T360" s="16">
        <v>0.58760456687014417</v>
      </c>
      <c r="U360" s="12">
        <v>27.611230182604128</v>
      </c>
    </row>
    <row r="361" spans="1:21" x14ac:dyDescent="0.25">
      <c r="A361" s="4">
        <v>36861</v>
      </c>
      <c r="B361" s="9">
        <v>57.033222256123082</v>
      </c>
      <c r="C361" s="9">
        <v>26.072507390574039</v>
      </c>
      <c r="D361" s="5">
        <f t="shared" si="8"/>
        <v>12</v>
      </c>
      <c r="Q361" s="4">
        <v>36861</v>
      </c>
      <c r="R361" s="12">
        <v>47.513019390822691</v>
      </c>
      <c r="S361" s="12">
        <v>45.824247672190758</v>
      </c>
      <c r="T361" s="16">
        <v>0.8265512395290544</v>
      </c>
      <c r="U361" s="12">
        <v>45.051168054429255</v>
      </c>
    </row>
    <row r="362" spans="1:21" x14ac:dyDescent="0.25">
      <c r="A362" s="4">
        <v>36892</v>
      </c>
      <c r="B362" s="11"/>
      <c r="C362" s="9">
        <v>38.155460703754144</v>
      </c>
      <c r="D362" s="5">
        <f t="shared" si="8"/>
        <v>1</v>
      </c>
      <c r="Q362" s="4">
        <v>36892</v>
      </c>
      <c r="R362" s="12">
        <v>65.364144646144169</v>
      </c>
      <c r="S362" s="12">
        <v>81.780705882799339</v>
      </c>
      <c r="T362" s="16">
        <v>0.91492364592848685</v>
      </c>
      <c r="U362" s="12">
        <v>83.772377389055094</v>
      </c>
    </row>
    <row r="363" spans="1:21" x14ac:dyDescent="0.25">
      <c r="A363" s="4">
        <v>36923</v>
      </c>
      <c r="B363" s="10"/>
      <c r="C363" s="9">
        <v>1.1903256877658568</v>
      </c>
      <c r="D363" s="5">
        <f t="shared" si="8"/>
        <v>2</v>
      </c>
      <c r="Q363" s="4">
        <v>36923</v>
      </c>
      <c r="R363" s="12">
        <v>1.7057463507744315</v>
      </c>
      <c r="S363" s="12">
        <v>2.607878899429215</v>
      </c>
      <c r="T363" s="16">
        <v>5.76659479444106E-2</v>
      </c>
      <c r="U363" s="12">
        <v>2.6452410205325751</v>
      </c>
    </row>
    <row r="364" spans="1:21" x14ac:dyDescent="0.25">
      <c r="A364" s="4">
        <v>36951</v>
      </c>
      <c r="B364" s="10"/>
      <c r="C364" s="9">
        <v>4.3111230990263625</v>
      </c>
      <c r="D364" s="5">
        <f t="shared" si="8"/>
        <v>3</v>
      </c>
      <c r="Q364" s="4">
        <v>36951</v>
      </c>
      <c r="R364" s="12">
        <v>4.8763254990508242</v>
      </c>
      <c r="S364" s="12">
        <v>2.0351866142611081</v>
      </c>
      <c r="T364" s="16">
        <v>8.0371119793580359E-2</v>
      </c>
      <c r="U364" s="12">
        <v>1.3541684663562616</v>
      </c>
    </row>
    <row r="365" spans="1:21" x14ac:dyDescent="0.25">
      <c r="A365" s="4">
        <v>36982</v>
      </c>
      <c r="B365" s="10"/>
      <c r="C365" s="9">
        <v>7.4256749649046316</v>
      </c>
      <c r="D365" s="5">
        <f t="shared" si="8"/>
        <v>4</v>
      </c>
      <c r="Q365" s="4">
        <v>36982</v>
      </c>
      <c r="R365" s="12">
        <v>5.967865993598414</v>
      </c>
      <c r="S365" s="12">
        <v>2.2164578454721839</v>
      </c>
      <c r="T365" s="16">
        <v>0.12640773915292708</v>
      </c>
      <c r="U365" s="12">
        <v>2.3883469989633692</v>
      </c>
    </row>
    <row r="366" spans="1:21" x14ac:dyDescent="0.25">
      <c r="A366" s="4">
        <v>37012</v>
      </c>
      <c r="B366" s="10"/>
      <c r="C366" s="9">
        <v>19.014276868866666</v>
      </c>
      <c r="D366" s="5">
        <f t="shared" si="8"/>
        <v>5</v>
      </c>
      <c r="Q366" s="4">
        <v>37012</v>
      </c>
      <c r="R366" s="12">
        <v>8.4203852628615241</v>
      </c>
      <c r="S366" s="12">
        <v>4.771000159658084</v>
      </c>
      <c r="T366" s="16">
        <v>0.29135042351550111</v>
      </c>
      <c r="U366" s="12">
        <v>4.6743016299773874</v>
      </c>
    </row>
    <row r="367" spans="1:21" x14ac:dyDescent="0.25">
      <c r="A367" s="4">
        <v>37043</v>
      </c>
      <c r="B367" s="10"/>
      <c r="C367" s="9">
        <v>81.812286477769149</v>
      </c>
      <c r="D367" s="5">
        <f t="shared" si="8"/>
        <v>6</v>
      </c>
      <c r="Q367" s="4">
        <v>37043</v>
      </c>
      <c r="R367" s="12">
        <v>29.465744669412143</v>
      </c>
      <c r="S367" s="12">
        <v>42.07477637846943</v>
      </c>
      <c r="T367" s="16">
        <v>0.94472898093037438</v>
      </c>
      <c r="U367" s="12">
        <v>42.016133212563041</v>
      </c>
    </row>
    <row r="368" spans="1:21" x14ac:dyDescent="0.25">
      <c r="A368" s="4">
        <v>37073</v>
      </c>
      <c r="B368" s="10"/>
      <c r="C368" s="9">
        <v>47.992548288851076</v>
      </c>
      <c r="D368" s="5">
        <f t="shared" si="8"/>
        <v>7</v>
      </c>
      <c r="Q368" s="4">
        <v>37073</v>
      </c>
      <c r="R368" s="12">
        <v>9.754326748436533</v>
      </c>
      <c r="S368" s="12">
        <v>7.1675689917371477</v>
      </c>
      <c r="T368" s="16">
        <v>0.6146846021398793</v>
      </c>
      <c r="U368" s="12">
        <v>8.3079138239915338</v>
      </c>
    </row>
    <row r="369" spans="1:21" x14ac:dyDescent="0.25">
      <c r="A369" s="4">
        <v>37104</v>
      </c>
      <c r="B369" s="10"/>
      <c r="C369" s="9">
        <v>7.0423164087190671</v>
      </c>
      <c r="D369" s="5">
        <f t="shared" si="8"/>
        <v>8</v>
      </c>
      <c r="Q369" s="4">
        <v>37104</v>
      </c>
      <c r="R369" s="12">
        <v>2.420623766545742</v>
      </c>
      <c r="S369" s="12">
        <v>0.8678842967374768</v>
      </c>
      <c r="T369" s="16">
        <v>0.17776732450875918</v>
      </c>
      <c r="U369" s="12">
        <v>1.0092832852023521</v>
      </c>
    </row>
    <row r="370" spans="1:21" x14ac:dyDescent="0.25">
      <c r="A370" s="4">
        <v>37135</v>
      </c>
      <c r="B370" s="10"/>
      <c r="C370" s="9">
        <v>0.28478475337677062</v>
      </c>
      <c r="D370" s="5">
        <f t="shared" si="8"/>
        <v>9</v>
      </c>
      <c r="Q370" s="4">
        <v>37135</v>
      </c>
      <c r="R370" s="12">
        <v>0.11487980716124691</v>
      </c>
      <c r="S370" s="12">
        <v>4.4030410101002131E-3</v>
      </c>
      <c r="T370" s="16">
        <v>1.1304801949510394E-2</v>
      </c>
      <c r="U370" s="12">
        <v>2.9327700589865234E-5</v>
      </c>
    </row>
    <row r="371" spans="1:21" x14ac:dyDescent="0.25">
      <c r="A371" s="4">
        <v>37165</v>
      </c>
      <c r="B371" s="10"/>
      <c r="C371" s="9">
        <v>1.0207248247992475</v>
      </c>
      <c r="D371" s="5">
        <f t="shared" si="8"/>
        <v>10</v>
      </c>
      <c r="Q371" s="4">
        <v>37165</v>
      </c>
      <c r="R371" s="12">
        <v>1.2673354148564804</v>
      </c>
      <c r="S371" s="12">
        <v>1.0491165452606639</v>
      </c>
      <c r="T371" s="16">
        <v>2.5055089881400469E-2</v>
      </c>
      <c r="U371" s="12">
        <v>0.95832282561996995</v>
      </c>
    </row>
    <row r="372" spans="1:21" x14ac:dyDescent="0.25">
      <c r="A372" s="4">
        <v>37196</v>
      </c>
      <c r="B372" s="10"/>
      <c r="C372" s="9">
        <v>22.572663822683332</v>
      </c>
      <c r="D372" s="5">
        <f t="shared" si="8"/>
        <v>11</v>
      </c>
      <c r="Q372" s="4">
        <v>37196</v>
      </c>
      <c r="R372" s="12">
        <v>23.234708824650891</v>
      </c>
      <c r="S372" s="12">
        <v>22.476951000506872</v>
      </c>
      <c r="T372" s="16">
        <v>0.52682174959169603</v>
      </c>
      <c r="U372" s="12">
        <v>22.448623642365849</v>
      </c>
    </row>
    <row r="373" spans="1:21" x14ac:dyDescent="0.25">
      <c r="A373" s="4">
        <v>37226</v>
      </c>
      <c r="B373" s="10"/>
      <c r="C373" s="9">
        <v>12.227598110527902</v>
      </c>
      <c r="D373" s="5">
        <f t="shared" si="8"/>
        <v>12</v>
      </c>
      <c r="Q373" s="4">
        <v>37226</v>
      </c>
      <c r="R373" s="12">
        <v>22.282862841904361</v>
      </c>
      <c r="S373" s="12">
        <v>24.318491079847735</v>
      </c>
      <c r="T373" s="16">
        <v>0.60491638373596279</v>
      </c>
      <c r="U373" s="12">
        <v>25.040214213712886</v>
      </c>
    </row>
    <row r="374" spans="1:21" x14ac:dyDescent="0.25">
      <c r="A374" s="4">
        <v>37257</v>
      </c>
      <c r="B374" s="10"/>
      <c r="C374" s="9">
        <v>2.7178527477906638</v>
      </c>
      <c r="D374" s="5">
        <f t="shared" si="8"/>
        <v>1</v>
      </c>
      <c r="Q374" s="4">
        <v>37257</v>
      </c>
      <c r="R374" s="12">
        <v>4.65595531692873</v>
      </c>
      <c r="S374" s="12">
        <v>0.64218290270524392</v>
      </c>
      <c r="T374" s="16">
        <v>0.14277979048399334</v>
      </c>
      <c r="U374" s="12">
        <v>0.46703305161105618</v>
      </c>
    </row>
    <row r="375" spans="1:21" x14ac:dyDescent="0.25">
      <c r="A375" s="4">
        <v>37288</v>
      </c>
      <c r="B375" s="10"/>
      <c r="C375" s="9">
        <v>2.6400147054282357</v>
      </c>
      <c r="D375" s="5">
        <f t="shared" si="8"/>
        <v>2</v>
      </c>
      <c r="Q375" s="4">
        <v>37288</v>
      </c>
      <c r="R375" s="12">
        <v>3.7831624538215043</v>
      </c>
      <c r="S375" s="12">
        <v>5.215668238630526</v>
      </c>
      <c r="T375" s="16">
        <v>0.12298406885001978</v>
      </c>
      <c r="U375" s="12">
        <v>5.1512958097471424</v>
      </c>
    </row>
    <row r="376" spans="1:21" x14ac:dyDescent="0.25">
      <c r="A376" s="4">
        <v>37316</v>
      </c>
      <c r="B376" s="10"/>
      <c r="C376" s="9">
        <v>15.32215725459899</v>
      </c>
      <c r="D376" s="5">
        <f t="shared" si="8"/>
        <v>3</v>
      </c>
      <c r="Q376" s="4">
        <v>37316</v>
      </c>
      <c r="R376" s="12">
        <v>17.330942402906956</v>
      </c>
      <c r="S376" s="12">
        <v>12.764327810267256</v>
      </c>
      <c r="T376" s="16">
        <v>0.43685499854978943</v>
      </c>
      <c r="U376" s="12">
        <v>12.548288814925586</v>
      </c>
    </row>
    <row r="377" spans="1:21" x14ac:dyDescent="0.25">
      <c r="A377" s="4">
        <v>37347</v>
      </c>
      <c r="B377" s="10"/>
      <c r="C377" s="9">
        <v>31.929850925705914</v>
      </c>
      <c r="D377" s="5">
        <f t="shared" si="8"/>
        <v>4</v>
      </c>
      <c r="Q377" s="4">
        <v>37347</v>
      </c>
      <c r="R377" s="12">
        <v>25.661380604562247</v>
      </c>
      <c r="S377" s="12">
        <v>23.309124831062125</v>
      </c>
      <c r="T377" s="16">
        <v>0.70710417594044972</v>
      </c>
      <c r="U377" s="12">
        <v>25.283258835681153</v>
      </c>
    </row>
    <row r="378" spans="1:21" x14ac:dyDescent="0.25">
      <c r="A378" s="4">
        <v>37377</v>
      </c>
      <c r="B378" s="10"/>
      <c r="C378" s="9">
        <v>11.524610637323494</v>
      </c>
      <c r="D378" s="5">
        <f t="shared" si="8"/>
        <v>5</v>
      </c>
      <c r="Q378" s="4">
        <v>37377</v>
      </c>
      <c r="R378" s="12">
        <v>5.1036209391496055</v>
      </c>
      <c r="S378" s="12">
        <v>2.1166963166513306</v>
      </c>
      <c r="T378" s="16">
        <v>0.13332288990400962</v>
      </c>
      <c r="U378" s="12">
        <v>1.7760117663456194</v>
      </c>
    </row>
    <row r="379" spans="1:21" x14ac:dyDescent="0.25">
      <c r="A379" s="4">
        <v>37408</v>
      </c>
      <c r="B379" s="10"/>
      <c r="C379" s="9">
        <v>61.653450430577223</v>
      </c>
      <c r="D379" s="5">
        <f t="shared" si="8"/>
        <v>6</v>
      </c>
      <c r="Q379" s="4">
        <v>37408</v>
      </c>
      <c r="R379" s="12">
        <v>22.205281218601424</v>
      </c>
      <c r="S379" s="12">
        <v>25.455926932665456</v>
      </c>
      <c r="T379" s="16">
        <v>0.87838881985232931</v>
      </c>
      <c r="U379" s="12">
        <v>27.055874336084855</v>
      </c>
    </row>
    <row r="380" spans="1:21" x14ac:dyDescent="0.25">
      <c r="A380" s="4">
        <v>37438</v>
      </c>
      <c r="B380" s="10"/>
      <c r="C380" s="9">
        <v>82.988059325799213</v>
      </c>
      <c r="D380" s="5">
        <f t="shared" si="8"/>
        <v>7</v>
      </c>
      <c r="Q380" s="4">
        <v>37438</v>
      </c>
      <c r="R380" s="12">
        <v>16.867048651186764</v>
      </c>
      <c r="S380" s="12">
        <v>21.903688371681678</v>
      </c>
      <c r="T380" s="16">
        <v>0.89015779620869351</v>
      </c>
      <c r="U380" s="12">
        <v>21.794594768251507</v>
      </c>
    </row>
    <row r="381" spans="1:21" x14ac:dyDescent="0.25">
      <c r="A381" s="4">
        <v>37469</v>
      </c>
      <c r="B381" s="10"/>
      <c r="C381" s="9">
        <v>57.743338582292004</v>
      </c>
      <c r="D381" s="5">
        <f t="shared" si="8"/>
        <v>8</v>
      </c>
      <c r="Q381" s="4">
        <v>37469</v>
      </c>
      <c r="R381" s="12">
        <v>19.847858235812712</v>
      </c>
      <c r="S381" s="12">
        <v>23.459113854907866</v>
      </c>
      <c r="T381" s="16">
        <v>0.90384726077261046</v>
      </c>
      <c r="U381" s="12">
        <v>23.199083491442984</v>
      </c>
    </row>
    <row r="382" spans="1:21" x14ac:dyDescent="0.25">
      <c r="A382" s="4">
        <v>37500</v>
      </c>
      <c r="B382" s="10"/>
      <c r="C382" s="9">
        <v>17.242772400947214</v>
      </c>
      <c r="D382" s="5">
        <f t="shared" si="8"/>
        <v>9</v>
      </c>
      <c r="Q382" s="4">
        <v>37500</v>
      </c>
      <c r="R382" s="12">
        <v>6.9555913540266801</v>
      </c>
      <c r="S382" s="12">
        <v>3.1699383391907183</v>
      </c>
      <c r="T382" s="16">
        <v>0.4075298007517153</v>
      </c>
      <c r="U382" s="12">
        <v>1.9681974199787198</v>
      </c>
    </row>
    <row r="383" spans="1:21" x14ac:dyDescent="0.25">
      <c r="A383" s="4">
        <v>37530</v>
      </c>
      <c r="B383" s="10"/>
      <c r="C383" s="9">
        <v>56.378158041299351</v>
      </c>
      <c r="D383" s="5">
        <f t="shared" si="8"/>
        <v>10</v>
      </c>
      <c r="Q383" s="4">
        <v>37530</v>
      </c>
      <c r="R383" s="12">
        <v>69.999312815936335</v>
      </c>
      <c r="S383" s="12">
        <v>72.123244560887784</v>
      </c>
      <c r="T383" s="16">
        <v>0.92882817708506604</v>
      </c>
      <c r="U383" s="12">
        <v>72.21564742994255</v>
      </c>
    </row>
    <row r="384" spans="1:21" x14ac:dyDescent="0.25">
      <c r="A384" s="4">
        <v>37561</v>
      </c>
      <c r="B384" s="10"/>
      <c r="C384" s="9">
        <v>34.17288316128159</v>
      </c>
      <c r="D384" s="5">
        <f t="shared" si="8"/>
        <v>11</v>
      </c>
      <c r="Q384" s="4">
        <v>37561</v>
      </c>
      <c r="R384" s="12">
        <v>35.175156826342466</v>
      </c>
      <c r="S384" s="12">
        <v>34.549442594352655</v>
      </c>
      <c r="T384" s="16">
        <v>0.65612467775060412</v>
      </c>
      <c r="U384" s="12">
        <v>34.631269714511134</v>
      </c>
    </row>
    <row r="385" spans="1:21" x14ac:dyDescent="0.25">
      <c r="A385" s="4">
        <v>37591</v>
      </c>
      <c r="B385" s="10"/>
      <c r="C385" s="9">
        <v>11.21163391875506</v>
      </c>
      <c r="D385" s="5">
        <f t="shared" si="8"/>
        <v>12</v>
      </c>
      <c r="Q385" s="4">
        <v>37591</v>
      </c>
      <c r="R385" s="12">
        <v>20.431428853567049</v>
      </c>
      <c r="S385" s="12">
        <v>22.615923000706125</v>
      </c>
      <c r="T385" s="16">
        <v>0.57889692874725929</v>
      </c>
      <c r="U385" s="12">
        <v>23.458052617036987</v>
      </c>
    </row>
    <row r="386" spans="1:21" x14ac:dyDescent="0.25">
      <c r="A386" s="4">
        <v>37622</v>
      </c>
      <c r="B386" s="10"/>
      <c r="C386" s="9">
        <v>11.598839256931774</v>
      </c>
      <c r="D386" s="5">
        <f t="shared" si="8"/>
        <v>1</v>
      </c>
      <c r="Q386" s="4">
        <v>37622</v>
      </c>
      <c r="R386" s="12">
        <v>19.869979104796109</v>
      </c>
      <c r="S386" s="12">
        <v>9.2014690997519129</v>
      </c>
      <c r="T386" s="16">
        <v>0.51039684668378582</v>
      </c>
      <c r="U386" s="12">
        <v>10.929781789246356</v>
      </c>
    </row>
    <row r="387" spans="1:21" x14ac:dyDescent="0.25">
      <c r="A387" s="4">
        <v>37653</v>
      </c>
      <c r="B387" s="10"/>
      <c r="C387" s="9">
        <v>21.535183554753484</v>
      </c>
      <c r="D387" s="5">
        <f t="shared" ref="D387:D450" si="9">MONTH(A387)</f>
        <v>2</v>
      </c>
      <c r="Q387" s="4">
        <v>37653</v>
      </c>
      <c r="R387" s="12">
        <v>30.86009244303899</v>
      </c>
      <c r="S387" s="12">
        <v>32.396246598020674</v>
      </c>
      <c r="T387" s="16">
        <v>0.65412423571338829</v>
      </c>
      <c r="U387" s="12">
        <v>31.611632038401673</v>
      </c>
    </row>
    <row r="388" spans="1:21" x14ac:dyDescent="0.25">
      <c r="A388" s="4">
        <v>37681</v>
      </c>
      <c r="B388" s="10"/>
      <c r="C388" s="9">
        <v>7.2246776680183649</v>
      </c>
      <c r="D388" s="5">
        <f t="shared" si="9"/>
        <v>3</v>
      </c>
      <c r="Q388" s="4">
        <v>37681</v>
      </c>
      <c r="R388" s="12">
        <v>8.1718566428635331</v>
      </c>
      <c r="S388" s="12">
        <v>4.2979461756100878</v>
      </c>
      <c r="T388" s="16">
        <v>0.17169869788019174</v>
      </c>
      <c r="U388" s="12">
        <v>3.4938464532392657</v>
      </c>
    </row>
    <row r="389" spans="1:21" x14ac:dyDescent="0.25">
      <c r="A389" s="4">
        <v>37712</v>
      </c>
      <c r="B389" s="10"/>
      <c r="C389" s="9">
        <v>10.435631946026692</v>
      </c>
      <c r="D389" s="5">
        <f t="shared" si="9"/>
        <v>4</v>
      </c>
      <c r="Q389" s="4">
        <v>37712</v>
      </c>
      <c r="R389" s="12">
        <v>8.3869080328378995</v>
      </c>
      <c r="S389" s="12">
        <v>3.8375591664331834</v>
      </c>
      <c r="T389" s="16">
        <v>0.20843892411234918</v>
      </c>
      <c r="U389" s="12">
        <v>4.317247511551626</v>
      </c>
    </row>
    <row r="390" spans="1:21" x14ac:dyDescent="0.25">
      <c r="A390" s="4">
        <v>37742</v>
      </c>
      <c r="B390" s="10"/>
      <c r="C390" s="9">
        <v>25.63388357819813</v>
      </c>
      <c r="D390" s="5">
        <f t="shared" si="9"/>
        <v>5</v>
      </c>
      <c r="Q390" s="4">
        <v>37742</v>
      </c>
      <c r="R390" s="12">
        <v>11.351847719499048</v>
      </c>
      <c r="S390" s="12">
        <v>7.7478794366927151</v>
      </c>
      <c r="T390" s="16">
        <v>0.43131654803896818</v>
      </c>
      <c r="U390" s="12">
        <v>8.0085333667179484</v>
      </c>
    </row>
    <row r="391" spans="1:21" x14ac:dyDescent="0.25">
      <c r="A391" s="4">
        <v>37773</v>
      </c>
      <c r="B391" s="10"/>
      <c r="C391" s="9">
        <v>68.893866016824873</v>
      </c>
      <c r="D391" s="5">
        <f t="shared" si="9"/>
        <v>6</v>
      </c>
      <c r="Q391" s="4">
        <v>37773</v>
      </c>
      <c r="R391" s="12">
        <v>24.813009790309017</v>
      </c>
      <c r="S391" s="12">
        <v>31.005992090881328</v>
      </c>
      <c r="T391" s="16">
        <v>0.90821211566060911</v>
      </c>
      <c r="U391" s="12">
        <v>32.269241502520963</v>
      </c>
    </row>
    <row r="392" spans="1:21" x14ac:dyDescent="0.25">
      <c r="A392" s="4">
        <v>37803</v>
      </c>
      <c r="B392" s="10"/>
      <c r="C392" s="9">
        <v>18.243437745197589</v>
      </c>
      <c r="D392" s="5">
        <f t="shared" si="9"/>
        <v>7</v>
      </c>
      <c r="Q392" s="4">
        <v>37803</v>
      </c>
      <c r="R392" s="12">
        <v>3.7079183982976129</v>
      </c>
      <c r="S392" s="12">
        <v>0.99661310664126024</v>
      </c>
      <c r="T392" s="16">
        <v>0.15827439421252518</v>
      </c>
      <c r="U392" s="12">
        <v>1.034880135117439</v>
      </c>
    </row>
    <row r="393" spans="1:21" x14ac:dyDescent="0.25">
      <c r="A393" s="4">
        <v>37834</v>
      </c>
      <c r="B393" s="10"/>
      <c r="C393" s="9">
        <v>28.180476777781418</v>
      </c>
      <c r="D393" s="5">
        <f t="shared" si="9"/>
        <v>8</v>
      </c>
      <c r="Q393" s="4">
        <v>37834</v>
      </c>
      <c r="R393" s="12">
        <v>9.6863486219437895</v>
      </c>
      <c r="S393" s="12">
        <v>7.622991007041751</v>
      </c>
      <c r="T393" s="16">
        <v>0.64415111872614517</v>
      </c>
      <c r="U393" s="12">
        <v>8.7072608148513169</v>
      </c>
    </row>
    <row r="394" spans="1:21" x14ac:dyDescent="0.25">
      <c r="A394" s="4">
        <v>37865</v>
      </c>
      <c r="B394" s="10"/>
      <c r="C394" s="9">
        <v>13.973692499441132</v>
      </c>
      <c r="D394" s="5">
        <f t="shared" si="9"/>
        <v>9</v>
      </c>
      <c r="Q394" s="4">
        <v>37865</v>
      </c>
      <c r="R394" s="12">
        <v>5.6368716394818783</v>
      </c>
      <c r="S394" s="12">
        <v>2.2629364431988157</v>
      </c>
      <c r="T394" s="16">
        <v>0.34886605950321292</v>
      </c>
      <c r="U394" s="12">
        <v>1.2013558557145609</v>
      </c>
    </row>
    <row r="395" spans="1:21" x14ac:dyDescent="0.25">
      <c r="A395" s="4">
        <v>37895</v>
      </c>
      <c r="B395" s="10"/>
      <c r="C395" s="9">
        <v>36.237282655948526</v>
      </c>
      <c r="D395" s="5">
        <f t="shared" si="9"/>
        <v>10</v>
      </c>
      <c r="Q395" s="4">
        <v>37895</v>
      </c>
      <c r="R395" s="12">
        <v>44.992333420596871</v>
      </c>
      <c r="S395" s="12">
        <v>45.253012426621666</v>
      </c>
      <c r="T395" s="16">
        <v>0.80396572071520922</v>
      </c>
      <c r="U395" s="12">
        <v>45.460385305181696</v>
      </c>
    </row>
    <row r="396" spans="1:21" x14ac:dyDescent="0.25">
      <c r="A396" s="4">
        <v>37926</v>
      </c>
      <c r="B396" s="10"/>
      <c r="C396" s="9">
        <v>9.8728735788146587</v>
      </c>
      <c r="D396" s="5">
        <f t="shared" si="9"/>
        <v>11</v>
      </c>
      <c r="Q396" s="4">
        <v>37926</v>
      </c>
      <c r="R396" s="12">
        <v>10.16244004997893</v>
      </c>
      <c r="S396" s="12">
        <v>9.5373407462359747</v>
      </c>
      <c r="T396" s="16">
        <v>0.31231460513977621</v>
      </c>
      <c r="U396" s="12">
        <v>9.4005245892797795</v>
      </c>
    </row>
    <row r="397" spans="1:21" x14ac:dyDescent="0.25">
      <c r="A397" s="4">
        <v>37956</v>
      </c>
      <c r="B397" s="10"/>
      <c r="C397" s="9">
        <v>9.0822421792695138</v>
      </c>
      <c r="D397" s="5">
        <f t="shared" si="9"/>
        <v>12</v>
      </c>
      <c r="Q397" s="4">
        <v>37956</v>
      </c>
      <c r="R397" s="12">
        <v>16.55094933185401</v>
      </c>
      <c r="S397" s="12">
        <v>18.96146041229553</v>
      </c>
      <c r="T397" s="16">
        <v>0.51739274485421216</v>
      </c>
      <c r="U397" s="12">
        <v>20.05187692498404</v>
      </c>
    </row>
    <row r="398" spans="1:21" x14ac:dyDescent="0.25">
      <c r="A398" s="4">
        <v>37987</v>
      </c>
      <c r="B398" s="10"/>
      <c r="C398" s="9">
        <v>1.5149790699556831</v>
      </c>
      <c r="D398" s="5">
        <f t="shared" si="9"/>
        <v>1</v>
      </c>
      <c r="Q398" s="4">
        <v>37987</v>
      </c>
      <c r="R398" s="12">
        <v>2.5953116339837843</v>
      </c>
      <c r="S398" s="12">
        <v>0.21977584186258645</v>
      </c>
      <c r="T398" s="16">
        <v>7.9276220028136751E-2</v>
      </c>
      <c r="U398" s="12">
        <v>0.11417214745181099</v>
      </c>
    </row>
    <row r="399" spans="1:21" x14ac:dyDescent="0.25">
      <c r="A399" s="4">
        <v>38018</v>
      </c>
      <c r="B399" s="10"/>
      <c r="C399" s="9">
        <v>29.62028140394602</v>
      </c>
      <c r="D399" s="5">
        <f t="shared" si="9"/>
        <v>2</v>
      </c>
      <c r="Q399" s="4">
        <v>38018</v>
      </c>
      <c r="R399" s="12">
        <v>42.44610314049708</v>
      </c>
      <c r="S399" s="12">
        <v>42.752324972217558</v>
      </c>
      <c r="T399" s="16">
        <v>0.76751036116909033</v>
      </c>
      <c r="U399" s="12">
        <v>42.069872746864988</v>
      </c>
    </row>
    <row r="400" spans="1:21" x14ac:dyDescent="0.25">
      <c r="A400" s="4">
        <v>38047</v>
      </c>
      <c r="B400" s="10"/>
      <c r="C400" s="9">
        <v>6.0774710349565808</v>
      </c>
      <c r="D400" s="5">
        <f t="shared" si="9"/>
        <v>3</v>
      </c>
      <c r="Q400" s="4">
        <v>38047</v>
      </c>
      <c r="R400" s="12">
        <v>6.874247451712665</v>
      </c>
      <c r="S400" s="12">
        <v>3.3460398611357789</v>
      </c>
      <c r="T400" s="16">
        <v>0.13423299497884181</v>
      </c>
      <c r="U400" s="12">
        <v>2.5580133912285583</v>
      </c>
    </row>
    <row r="401" spans="1:21" x14ac:dyDescent="0.25">
      <c r="A401" s="4">
        <v>38078</v>
      </c>
      <c r="B401" s="10"/>
      <c r="C401" s="9">
        <v>17.484122831085369</v>
      </c>
      <c r="D401" s="5">
        <f t="shared" si="9"/>
        <v>4</v>
      </c>
      <c r="Q401" s="4">
        <v>38078</v>
      </c>
      <c r="R401" s="12">
        <v>14.051638748622777</v>
      </c>
      <c r="S401" s="12">
        <v>8.8227121646912252</v>
      </c>
      <c r="T401" s="16">
        <v>0.40363195014227066</v>
      </c>
      <c r="U401" s="12">
        <v>10.110066097267429</v>
      </c>
    </row>
    <row r="402" spans="1:21" x14ac:dyDescent="0.25">
      <c r="A402" s="4">
        <v>38108</v>
      </c>
      <c r="B402" s="10"/>
      <c r="C402" s="9">
        <v>49.339441102204155</v>
      </c>
      <c r="D402" s="5">
        <f t="shared" si="9"/>
        <v>5</v>
      </c>
      <c r="Q402" s="4">
        <v>38108</v>
      </c>
      <c r="R402" s="12">
        <v>21.849745094176022</v>
      </c>
      <c r="S402" s="12">
        <v>22.426545136316435</v>
      </c>
      <c r="T402" s="16">
        <v>0.78540633899487677</v>
      </c>
      <c r="U402" s="12">
        <v>23.513315698476557</v>
      </c>
    </row>
    <row r="403" spans="1:21" x14ac:dyDescent="0.25">
      <c r="A403" s="4">
        <v>38139</v>
      </c>
      <c r="B403" s="10"/>
      <c r="C403" s="9">
        <v>7.3115410886916585</v>
      </c>
      <c r="D403" s="5">
        <f t="shared" si="9"/>
        <v>6</v>
      </c>
      <c r="Q403" s="4">
        <v>38139</v>
      </c>
      <c r="R403" s="12">
        <v>2.6333453339902144</v>
      </c>
      <c r="S403" s="12">
        <v>0.57685541364988357</v>
      </c>
      <c r="T403" s="16">
        <v>0.15175965640651598</v>
      </c>
      <c r="U403" s="12">
        <v>0.32986212340211229</v>
      </c>
    </row>
    <row r="404" spans="1:21" x14ac:dyDescent="0.25">
      <c r="A404" s="4">
        <v>38169</v>
      </c>
      <c r="B404" s="10"/>
      <c r="C404" s="9">
        <v>29.815412207647416</v>
      </c>
      <c r="D404" s="5">
        <f t="shared" si="9"/>
        <v>7</v>
      </c>
      <c r="Q404" s="4">
        <v>38169</v>
      </c>
      <c r="R404" s="12">
        <v>6.0598839441138308</v>
      </c>
      <c r="S404" s="12">
        <v>2.714449005711816</v>
      </c>
      <c r="T404" s="16">
        <v>0.347223241397347</v>
      </c>
      <c r="U404" s="12">
        <v>3.1752060880184558</v>
      </c>
    </row>
    <row r="405" spans="1:21" x14ac:dyDescent="0.25">
      <c r="A405" s="4">
        <v>38200</v>
      </c>
      <c r="B405" s="10"/>
      <c r="C405" s="9">
        <v>20.070254486913559</v>
      </c>
      <c r="D405" s="5">
        <f t="shared" si="9"/>
        <v>8</v>
      </c>
      <c r="Q405" s="4">
        <v>38200</v>
      </c>
      <c r="R405" s="12">
        <v>6.898658366371385</v>
      </c>
      <c r="S405" s="12">
        <v>4.4788379264271558</v>
      </c>
      <c r="T405" s="16">
        <v>0.50060021295064472</v>
      </c>
      <c r="U405" s="12">
        <v>5.3017422181442955</v>
      </c>
    </row>
    <row r="406" spans="1:21" x14ac:dyDescent="0.25">
      <c r="A406" s="4">
        <v>38231</v>
      </c>
      <c r="B406" s="10"/>
      <c r="C406" s="9">
        <v>23.364981269367501</v>
      </c>
      <c r="D406" s="5">
        <f t="shared" si="9"/>
        <v>9</v>
      </c>
      <c r="Q406" s="4">
        <v>38231</v>
      </c>
      <c r="R406" s="12">
        <v>9.4252396265046219</v>
      </c>
      <c r="S406" s="12">
        <v>5.1597065184789059</v>
      </c>
      <c r="T406" s="16">
        <v>0.50262572774226522</v>
      </c>
      <c r="U406" s="12">
        <v>3.8895895585431619</v>
      </c>
    </row>
    <row r="407" spans="1:21" x14ac:dyDescent="0.25">
      <c r="A407" s="4">
        <v>38261</v>
      </c>
      <c r="B407" s="10"/>
      <c r="C407" s="9">
        <v>131.63657676168998</v>
      </c>
      <c r="D407" s="5">
        <f t="shared" si="9"/>
        <v>10</v>
      </c>
      <c r="Q407" s="4">
        <v>38261</v>
      </c>
      <c r="R407" s="12">
        <v>163.44042151945737</v>
      </c>
      <c r="S407" s="12">
        <v>176.37312998496753</v>
      </c>
      <c r="T407" s="16">
        <v>0.99856244416611162</v>
      </c>
      <c r="U407" s="12">
        <v>173.72972240997663</v>
      </c>
    </row>
    <row r="408" spans="1:21" x14ac:dyDescent="0.25">
      <c r="A408" s="4">
        <v>38292</v>
      </c>
      <c r="B408" s="10"/>
      <c r="C408" s="9">
        <v>5.2941761293146226E-2</v>
      </c>
      <c r="D408" s="5">
        <f t="shared" si="9"/>
        <v>11</v>
      </c>
      <c r="Q408" s="4">
        <v>38292</v>
      </c>
      <c r="R408" s="12">
        <v>5.4494516817917983E-2</v>
      </c>
      <c r="S408" s="12">
        <v>4.2219180363666439E-2</v>
      </c>
      <c r="T408" s="16">
        <v>5.9403295241399505E-3</v>
      </c>
      <c r="U408" s="12">
        <v>3.5239822216081351E-2</v>
      </c>
    </row>
    <row r="409" spans="1:21" x14ac:dyDescent="0.25">
      <c r="A409" s="4">
        <v>38322</v>
      </c>
      <c r="B409" s="10"/>
      <c r="C409" s="9">
        <v>8.1772673232861575</v>
      </c>
      <c r="D409" s="5">
        <f t="shared" si="9"/>
        <v>12</v>
      </c>
      <c r="Q409" s="4">
        <v>38322</v>
      </c>
      <c r="R409" s="12">
        <v>14.901775846679767</v>
      </c>
      <c r="S409" s="12">
        <v>17.367150478426062</v>
      </c>
      <c r="T409" s="16">
        <v>0.48792803079010438</v>
      </c>
      <c r="U409" s="12">
        <v>18.558997927550816</v>
      </c>
    </row>
    <row r="410" spans="1:21" x14ac:dyDescent="0.25">
      <c r="A410" s="4">
        <v>38353</v>
      </c>
      <c r="B410" s="10"/>
      <c r="C410" s="9">
        <v>0.25813065167459165</v>
      </c>
      <c r="D410" s="5">
        <f t="shared" si="9"/>
        <v>1</v>
      </c>
      <c r="Q410" s="4">
        <v>38353</v>
      </c>
      <c r="R410" s="12">
        <v>0.44220378793647663</v>
      </c>
      <c r="S410" s="12">
        <v>8.548707722582545E-3</v>
      </c>
      <c r="T410" s="16">
        <v>1.2298410161710372E-2</v>
      </c>
      <c r="U410" s="12">
        <v>1.3324760771004176E-3</v>
      </c>
    </row>
    <row r="411" spans="1:21" x14ac:dyDescent="0.25">
      <c r="A411" s="4">
        <v>38384</v>
      </c>
      <c r="B411" s="10"/>
      <c r="C411" s="9">
        <v>6.4393760410560272</v>
      </c>
      <c r="D411" s="5">
        <f t="shared" si="9"/>
        <v>2</v>
      </c>
      <c r="Q411" s="4">
        <v>38384</v>
      </c>
      <c r="R411" s="12">
        <v>9.2276780180318365</v>
      </c>
      <c r="S411" s="12">
        <v>11.330974953589536</v>
      </c>
      <c r="T411" s="16">
        <v>0.2730100794544138</v>
      </c>
      <c r="U411" s="12">
        <v>10.995084353603128</v>
      </c>
    </row>
    <row r="412" spans="1:21" x14ac:dyDescent="0.25">
      <c r="A412" s="4">
        <v>38412</v>
      </c>
      <c r="B412" s="10"/>
      <c r="C412" s="9">
        <v>55.595753539650048</v>
      </c>
      <c r="D412" s="5">
        <f t="shared" si="9"/>
        <v>3</v>
      </c>
      <c r="Q412" s="4">
        <v>38412</v>
      </c>
      <c r="R412" s="12">
        <v>62.884539456914929</v>
      </c>
      <c r="S412" s="12">
        <v>82.491911059150567</v>
      </c>
      <c r="T412" s="16">
        <v>0.95830099341835062</v>
      </c>
      <c r="U412" s="12">
        <v>82.375461170046322</v>
      </c>
    </row>
    <row r="413" spans="1:21" x14ac:dyDescent="0.25">
      <c r="A413" s="4">
        <v>38443</v>
      </c>
      <c r="B413" s="10"/>
      <c r="C413" s="9">
        <v>34.259145914762307</v>
      </c>
      <c r="D413" s="5">
        <f t="shared" si="9"/>
        <v>4</v>
      </c>
      <c r="Q413" s="4">
        <v>38443</v>
      </c>
      <c r="R413" s="12">
        <v>27.533388256384828</v>
      </c>
      <c r="S413" s="12">
        <v>26.112921592636329</v>
      </c>
      <c r="T413" s="16">
        <v>0.74150074439075531</v>
      </c>
      <c r="U413" s="12">
        <v>27.99357170164291</v>
      </c>
    </row>
    <row r="414" spans="1:21" x14ac:dyDescent="0.25">
      <c r="A414" s="4">
        <v>38473</v>
      </c>
      <c r="B414" s="10"/>
      <c r="C414" s="9">
        <v>22.418959097328617</v>
      </c>
      <c r="D414" s="5">
        <f t="shared" si="9"/>
        <v>5</v>
      </c>
      <c r="Q414" s="4">
        <v>38473</v>
      </c>
      <c r="R414" s="12">
        <v>9.9281331650817108</v>
      </c>
      <c r="S414" s="12">
        <v>6.2333222210919965</v>
      </c>
      <c r="T414" s="16">
        <v>0.3646132710047213</v>
      </c>
      <c r="U414" s="12">
        <v>6.3133401808266125</v>
      </c>
    </row>
    <row r="415" spans="1:21" x14ac:dyDescent="0.25">
      <c r="A415" s="4">
        <v>38504</v>
      </c>
      <c r="B415" s="10"/>
      <c r="C415" s="9">
        <v>25.05840200166762</v>
      </c>
      <c r="D415" s="5">
        <f t="shared" si="9"/>
        <v>6</v>
      </c>
      <c r="Q415" s="4">
        <v>38504</v>
      </c>
      <c r="R415" s="12">
        <v>9.0251049933100198</v>
      </c>
      <c r="S415" s="12">
        <v>5.1435800862271144</v>
      </c>
      <c r="T415" s="16">
        <v>0.52372617995895165</v>
      </c>
      <c r="U415" s="12">
        <v>5.361678236336533</v>
      </c>
    </row>
    <row r="416" spans="1:21" x14ac:dyDescent="0.25">
      <c r="A416" s="4">
        <v>38534</v>
      </c>
      <c r="B416" s="10"/>
      <c r="C416" s="9">
        <v>72.630148935887718</v>
      </c>
      <c r="D416" s="5">
        <f t="shared" si="9"/>
        <v>7</v>
      </c>
      <c r="Q416" s="4">
        <v>38534</v>
      </c>
      <c r="R416" s="12">
        <v>14.761837613712157</v>
      </c>
      <c r="S416" s="12">
        <v>16.688472631338847</v>
      </c>
      <c r="T416" s="16">
        <v>0.8370997589875544</v>
      </c>
      <c r="U416" s="12">
        <v>17.455000348980949</v>
      </c>
    </row>
    <row r="417" spans="1:21" x14ac:dyDescent="0.25">
      <c r="A417" s="4">
        <v>38565</v>
      </c>
      <c r="B417" s="10"/>
      <c r="C417" s="9">
        <v>74.503304699721383</v>
      </c>
      <c r="D417" s="5">
        <f t="shared" si="9"/>
        <v>8</v>
      </c>
      <c r="Q417" s="4">
        <v>38565</v>
      </c>
      <c r="R417" s="12">
        <v>25.608686059470546</v>
      </c>
      <c r="S417" s="12">
        <v>34.972826567991866</v>
      </c>
      <c r="T417" s="16">
        <v>0.95539968653493434</v>
      </c>
      <c r="U417" s="12">
        <v>32.179513643501572</v>
      </c>
    </row>
    <row r="418" spans="1:21" x14ac:dyDescent="0.25">
      <c r="A418" s="4">
        <v>38596</v>
      </c>
      <c r="B418" s="10"/>
      <c r="C418" s="9">
        <v>1.2105535499876088</v>
      </c>
      <c r="D418" s="5">
        <f t="shared" si="9"/>
        <v>9</v>
      </c>
      <c r="Q418" s="4">
        <v>38596</v>
      </c>
      <c r="R418" s="12">
        <v>0.48832726026225143</v>
      </c>
      <c r="S418" s="12">
        <v>4.4812576244083788E-2</v>
      </c>
      <c r="T418" s="16">
        <v>4.2576537758864573E-2</v>
      </c>
      <c r="U418" s="12">
        <v>1.7670596266517063E-3</v>
      </c>
    </row>
    <row r="419" spans="1:21" x14ac:dyDescent="0.25">
      <c r="A419" s="4">
        <v>38626</v>
      </c>
      <c r="B419" s="10"/>
      <c r="C419" s="9">
        <v>2.5295777724401587</v>
      </c>
      <c r="D419" s="5">
        <f t="shared" si="9"/>
        <v>10</v>
      </c>
      <c r="Q419" s="4">
        <v>38626</v>
      </c>
      <c r="R419" s="12">
        <v>3.1407323675876011</v>
      </c>
      <c r="S419" s="12">
        <v>2.7319085274378558</v>
      </c>
      <c r="T419" s="16">
        <v>7.2759053707914328E-2</v>
      </c>
      <c r="U419" s="12">
        <v>2.5964877779095428</v>
      </c>
    </row>
    <row r="420" spans="1:21" x14ac:dyDescent="0.25">
      <c r="A420" s="4">
        <v>38657</v>
      </c>
      <c r="B420" s="10"/>
      <c r="C420" s="9">
        <v>24.973805917151072</v>
      </c>
      <c r="D420" s="5">
        <f t="shared" si="9"/>
        <v>11</v>
      </c>
      <c r="Q420" s="4">
        <v>38657</v>
      </c>
      <c r="R420" s="12">
        <v>25.706275222388449</v>
      </c>
      <c r="S420" s="12">
        <v>24.960274129153753</v>
      </c>
      <c r="T420" s="16">
        <v>0.55759908416090687</v>
      </c>
      <c r="U420" s="12">
        <v>24.95579501406047</v>
      </c>
    </row>
    <row r="421" spans="1:21" x14ac:dyDescent="0.25">
      <c r="A421" s="4">
        <v>38687</v>
      </c>
      <c r="B421" s="10"/>
      <c r="C421" s="9">
        <v>25.770194164055582</v>
      </c>
      <c r="D421" s="5">
        <f t="shared" si="9"/>
        <v>12</v>
      </c>
      <c r="Q421" s="4">
        <v>38687</v>
      </c>
      <c r="R421" s="12">
        <v>46.962101369072833</v>
      </c>
      <c r="S421" s="12">
        <v>45.379228357557295</v>
      </c>
      <c r="T421" s="16">
        <v>0.8235106544588966</v>
      </c>
      <c r="U421" s="12">
        <v>44.634253907883007</v>
      </c>
    </row>
    <row r="422" spans="1:21" x14ac:dyDescent="0.25">
      <c r="A422" s="4">
        <v>38718</v>
      </c>
      <c r="B422" s="10"/>
      <c r="C422" s="9">
        <v>62.177011051615565</v>
      </c>
      <c r="D422" s="5">
        <f t="shared" si="9"/>
        <v>1</v>
      </c>
      <c r="Q422" s="4">
        <v>38718</v>
      </c>
      <c r="R422" s="12">
        <v>106.51547823252544</v>
      </c>
      <c r="S422" s="12">
        <v>200.32656676281437</v>
      </c>
      <c r="T422" s="16">
        <v>0.98295570679711886</v>
      </c>
      <c r="U422" s="12">
        <v>168.38036210476787</v>
      </c>
    </row>
    <row r="423" spans="1:21" x14ac:dyDescent="0.25">
      <c r="A423" s="4">
        <v>38749</v>
      </c>
      <c r="B423" s="10"/>
      <c r="C423" s="9">
        <v>33.562328807278021</v>
      </c>
      <c r="D423" s="5">
        <f t="shared" si="9"/>
        <v>2</v>
      </c>
      <c r="Q423" s="4">
        <v>38749</v>
      </c>
      <c r="R423" s="12">
        <v>48.09508899531302</v>
      </c>
      <c r="S423" s="12">
        <v>47.662517712129137</v>
      </c>
      <c r="T423" s="16">
        <v>0.80843179472698323</v>
      </c>
      <c r="U423" s="12">
        <v>47.097290000872569</v>
      </c>
    </row>
    <row r="424" spans="1:21" x14ac:dyDescent="0.25">
      <c r="A424" s="4">
        <v>38777</v>
      </c>
      <c r="B424" s="10"/>
      <c r="C424" s="9">
        <v>53.532954966299819</v>
      </c>
      <c r="D424" s="5">
        <f t="shared" si="9"/>
        <v>3</v>
      </c>
      <c r="Q424" s="4">
        <v>38777</v>
      </c>
      <c r="R424" s="12">
        <v>60.551301214447413</v>
      </c>
      <c r="S424" s="12">
        <v>78.097383805005336</v>
      </c>
      <c r="T424" s="16">
        <v>0.95178247319873366</v>
      </c>
      <c r="U424" s="12">
        <v>78.352156478140287</v>
      </c>
    </row>
    <row r="425" spans="1:21" x14ac:dyDescent="0.25">
      <c r="A425" s="4">
        <v>38808</v>
      </c>
      <c r="B425" s="10"/>
      <c r="C425" s="9">
        <v>83.038575826354389</v>
      </c>
      <c r="D425" s="5">
        <f t="shared" si="9"/>
        <v>4</v>
      </c>
      <c r="Q425" s="4">
        <v>38808</v>
      </c>
      <c r="R425" s="12">
        <v>66.736437451556057</v>
      </c>
      <c r="S425" s="12">
        <v>108.92220488040131</v>
      </c>
      <c r="T425" s="16">
        <v>0.98596592917269432</v>
      </c>
      <c r="U425" s="12">
        <v>92.447300073118711</v>
      </c>
    </row>
    <row r="426" spans="1:21" x14ac:dyDescent="0.25">
      <c r="A426" s="4">
        <v>38838</v>
      </c>
      <c r="B426" s="10"/>
      <c r="C426" s="9">
        <v>16.842078215339036</v>
      </c>
      <c r="D426" s="5">
        <f t="shared" si="9"/>
        <v>5</v>
      </c>
      <c r="Q426" s="4">
        <v>38838</v>
      </c>
      <c r="R426" s="12">
        <v>7.4584370564524578</v>
      </c>
      <c r="S426" s="12">
        <v>3.9182967622748435</v>
      </c>
      <c r="T426" s="16">
        <v>0.24418534070755193</v>
      </c>
      <c r="U426" s="12">
        <v>3.7245975337697175</v>
      </c>
    </row>
    <row r="427" spans="1:21" x14ac:dyDescent="0.25">
      <c r="A427" s="4">
        <v>38869</v>
      </c>
      <c r="B427" s="10"/>
      <c r="C427" s="9">
        <v>20.473081667406344</v>
      </c>
      <c r="D427" s="5">
        <f t="shared" si="9"/>
        <v>6</v>
      </c>
      <c r="Q427" s="4">
        <v>38869</v>
      </c>
      <c r="R427" s="12">
        <v>7.3736430428666759</v>
      </c>
      <c r="S427" s="12">
        <v>3.5922222940467599</v>
      </c>
      <c r="T427" s="16">
        <v>0.44166871748237918</v>
      </c>
      <c r="U427" s="12">
        <v>3.5452543658581361</v>
      </c>
    </row>
    <row r="428" spans="1:21" x14ac:dyDescent="0.25">
      <c r="A428" s="4">
        <v>38899</v>
      </c>
      <c r="B428" s="10"/>
      <c r="C428" s="9">
        <v>61.879071406938436</v>
      </c>
      <c r="D428" s="5">
        <f t="shared" si="9"/>
        <v>7</v>
      </c>
      <c r="Q428" s="4">
        <v>38899</v>
      </c>
      <c r="R428" s="12">
        <v>12.576716655267308</v>
      </c>
      <c r="S428" s="12">
        <v>12.036564635459117</v>
      </c>
      <c r="T428" s="16">
        <v>0.75914188871295685</v>
      </c>
      <c r="U428" s="12">
        <v>13.228035678990157</v>
      </c>
    </row>
    <row r="429" spans="1:21" x14ac:dyDescent="0.25">
      <c r="A429" s="4">
        <v>38930</v>
      </c>
      <c r="B429" s="10"/>
      <c r="C429" s="9">
        <v>18.700159433589963</v>
      </c>
      <c r="D429" s="5">
        <f t="shared" si="9"/>
        <v>8</v>
      </c>
      <c r="Q429" s="4">
        <v>38930</v>
      </c>
      <c r="R429" s="12">
        <v>6.427721751766037</v>
      </c>
      <c r="S429" s="12">
        <v>4.0091137718859002</v>
      </c>
      <c r="T429" s="16">
        <v>0.47198602788667571</v>
      </c>
      <c r="U429" s="12">
        <v>4.7683533108538123</v>
      </c>
    </row>
    <row r="430" spans="1:21" x14ac:dyDescent="0.25">
      <c r="A430" s="4">
        <v>38961</v>
      </c>
      <c r="B430" s="10"/>
      <c r="C430" s="9">
        <v>28.820330226474507</v>
      </c>
      <c r="D430" s="5">
        <f t="shared" si="9"/>
        <v>9</v>
      </c>
      <c r="Q430" s="4">
        <v>38961</v>
      </c>
      <c r="R430" s="12">
        <v>11.625882142505557</v>
      </c>
      <c r="S430" s="12">
        <v>7.2234235101068167</v>
      </c>
      <c r="T430" s="16">
        <v>0.57380522785967247</v>
      </c>
      <c r="U430" s="12">
        <v>6.0776159045549401</v>
      </c>
    </row>
    <row r="431" spans="1:21" x14ac:dyDescent="0.25">
      <c r="A431" s="4">
        <v>38991</v>
      </c>
      <c r="B431" s="10"/>
      <c r="C431" s="9">
        <v>33.314922745056009</v>
      </c>
      <c r="D431" s="5">
        <f t="shared" si="9"/>
        <v>10</v>
      </c>
      <c r="Q431" s="4">
        <v>38991</v>
      </c>
      <c r="R431" s="12">
        <v>41.363921413708205</v>
      </c>
      <c r="S431" s="12">
        <v>41.413166101990555</v>
      </c>
      <c r="T431" s="16">
        <v>0.77347938955879991</v>
      </c>
      <c r="U431" s="12">
        <v>41.610951397887959</v>
      </c>
    </row>
    <row r="432" spans="1:21" x14ac:dyDescent="0.25">
      <c r="A432" s="4">
        <v>39022</v>
      </c>
      <c r="B432" s="10"/>
      <c r="C432" s="9">
        <v>54.128344426924819</v>
      </c>
      <c r="D432" s="5">
        <f t="shared" si="9"/>
        <v>11</v>
      </c>
      <c r="Q432" s="4">
        <v>39022</v>
      </c>
      <c r="R432" s="12">
        <v>55.715901844787616</v>
      </c>
      <c r="S432" s="12">
        <v>55.655671819416924</v>
      </c>
      <c r="T432" s="16">
        <v>0.79695023568638779</v>
      </c>
      <c r="U432" s="12">
        <v>55.866932461004268</v>
      </c>
    </row>
    <row r="433" spans="1:21" x14ac:dyDescent="0.25">
      <c r="A433" s="4">
        <v>39052</v>
      </c>
      <c r="B433" s="10"/>
      <c r="C433" s="9">
        <v>10.719670175694468</v>
      </c>
      <c r="D433" s="5">
        <f t="shared" si="9"/>
        <v>12</v>
      </c>
      <c r="Q433" s="4">
        <v>39052</v>
      </c>
      <c r="R433" s="12">
        <v>19.534902772915892</v>
      </c>
      <c r="S433" s="12">
        <v>21.782520685465492</v>
      </c>
      <c r="T433" s="16">
        <v>0.56557081907901008</v>
      </c>
      <c r="U433" s="12">
        <v>22.682716230061423</v>
      </c>
    </row>
    <row r="434" spans="1:21" x14ac:dyDescent="0.25">
      <c r="A434" s="4">
        <v>39083</v>
      </c>
      <c r="B434" s="10"/>
      <c r="C434" s="9">
        <v>8.4611889334957464</v>
      </c>
      <c r="D434" s="5">
        <f t="shared" si="9"/>
        <v>1</v>
      </c>
      <c r="Q434" s="4">
        <v>39083</v>
      </c>
      <c r="R434" s="12">
        <v>14.494868286912192</v>
      </c>
      <c r="S434" s="12">
        <v>5.1586502059260759</v>
      </c>
      <c r="T434" s="16">
        <v>0.40115428295740357</v>
      </c>
      <c r="U434" s="12">
        <v>5.8292687276081736</v>
      </c>
    </row>
    <row r="435" spans="1:21" x14ac:dyDescent="0.25">
      <c r="A435" s="4">
        <v>39114</v>
      </c>
      <c r="B435" s="10"/>
      <c r="C435" s="9">
        <v>5.4866875679857356</v>
      </c>
      <c r="D435" s="5">
        <f t="shared" si="9"/>
        <v>2</v>
      </c>
      <c r="Q435" s="4">
        <v>39114</v>
      </c>
      <c r="R435" s="12">
        <v>7.8624677204916811</v>
      </c>
      <c r="S435" s="12">
        <v>9.8573953985936242</v>
      </c>
      <c r="T435" s="16">
        <v>0.23803234577261298</v>
      </c>
      <c r="U435" s="12">
        <v>9.5844150930122787</v>
      </c>
    </row>
    <row r="436" spans="1:21" x14ac:dyDescent="0.25">
      <c r="A436" s="4">
        <v>39142</v>
      </c>
      <c r="B436" s="10"/>
      <c r="C436" s="9">
        <v>5.2096067797092358</v>
      </c>
      <c r="D436" s="5">
        <f t="shared" si="9"/>
        <v>3</v>
      </c>
      <c r="Q436" s="4">
        <v>39142</v>
      </c>
      <c r="R436" s="12">
        <v>5.892603341728158</v>
      </c>
      <c r="S436" s="12">
        <v>2.6769577630524481</v>
      </c>
      <c r="T436" s="16">
        <v>0.10701867410137131</v>
      </c>
      <c r="U436" s="12">
        <v>1.9279747772733202</v>
      </c>
    </row>
    <row r="437" spans="1:21" x14ac:dyDescent="0.25">
      <c r="A437" s="4">
        <v>39173</v>
      </c>
      <c r="B437" s="10"/>
      <c r="C437" s="9">
        <v>10.431322780039329</v>
      </c>
      <c r="D437" s="5">
        <f t="shared" si="9"/>
        <v>4</v>
      </c>
      <c r="Q437" s="4">
        <v>39173</v>
      </c>
      <c r="R437" s="12">
        <v>8.3834448425853907</v>
      </c>
      <c r="S437" s="12">
        <v>3.8350032369020766</v>
      </c>
      <c r="T437" s="16">
        <v>0.20831801054146401</v>
      </c>
      <c r="U437" s="12">
        <v>4.314207980370675</v>
      </c>
    </row>
    <row r="438" spans="1:21" x14ac:dyDescent="0.25">
      <c r="A438" s="4">
        <v>39203</v>
      </c>
      <c r="B438" s="10"/>
      <c r="C438" s="9">
        <v>5.523139708736438</v>
      </c>
      <c r="D438" s="5">
        <f t="shared" si="9"/>
        <v>5</v>
      </c>
      <c r="Q438" s="4">
        <v>39203</v>
      </c>
      <c r="R438" s="12">
        <v>2.4458970766497319</v>
      </c>
      <c r="S438" s="12">
        <v>0.64146379547574883</v>
      </c>
      <c r="T438" s="16">
        <v>3.5017260158184071E-2</v>
      </c>
      <c r="U438" s="12">
        <v>0.37711172442690211</v>
      </c>
    </row>
    <row r="439" spans="1:21" x14ac:dyDescent="0.25">
      <c r="A439" s="4">
        <v>39234</v>
      </c>
      <c r="B439" s="10"/>
      <c r="C439" s="9">
        <v>33.670774321120582</v>
      </c>
      <c r="D439" s="5">
        <f t="shared" si="9"/>
        <v>6</v>
      </c>
      <c r="Q439" s="4">
        <v>39234</v>
      </c>
      <c r="R439" s="12">
        <v>12.126961385404266</v>
      </c>
      <c r="S439" s="12">
        <v>8.6927809184458589</v>
      </c>
      <c r="T439" s="16">
        <v>0.65026148719410914</v>
      </c>
      <c r="U439" s="12">
        <v>9.4879757041148167</v>
      </c>
    </row>
    <row r="440" spans="1:21" x14ac:dyDescent="0.25">
      <c r="A440" s="4">
        <v>39264</v>
      </c>
      <c r="B440" s="10"/>
      <c r="C440" s="9">
        <v>72.901560719354165</v>
      </c>
      <c r="D440" s="5">
        <f t="shared" si="9"/>
        <v>7</v>
      </c>
      <c r="Q440" s="4">
        <v>39264</v>
      </c>
      <c r="R440" s="12">
        <v>14.817001161256529</v>
      </c>
      <c r="S440" s="12">
        <v>16.815927088852369</v>
      </c>
      <c r="T440" s="16">
        <v>0.8387410001176161</v>
      </c>
      <c r="U440" s="12">
        <v>17.56561773682526</v>
      </c>
    </row>
    <row r="441" spans="1:21" x14ac:dyDescent="0.25">
      <c r="A441" s="4">
        <v>39295</v>
      </c>
      <c r="B441" s="10"/>
      <c r="C441" s="9">
        <v>7.1581667586170008</v>
      </c>
      <c r="D441" s="5">
        <f t="shared" si="9"/>
        <v>8</v>
      </c>
      <c r="Q441" s="4">
        <v>39295</v>
      </c>
      <c r="R441" s="12">
        <v>2.4604444866114266</v>
      </c>
      <c r="S441" s="12">
        <v>0.89035994338156033</v>
      </c>
      <c r="T441" s="16">
        <v>0.18103519955352926</v>
      </c>
      <c r="U441" s="12">
        <v>1.0370837813645712</v>
      </c>
    </row>
    <row r="442" spans="1:21" x14ac:dyDescent="0.25">
      <c r="A442" s="4">
        <v>39326</v>
      </c>
      <c r="B442" s="10"/>
      <c r="C442" s="9">
        <v>4.2245840512172803</v>
      </c>
      <c r="D442" s="5">
        <f t="shared" si="9"/>
        <v>9</v>
      </c>
      <c r="Q442" s="4">
        <v>39326</v>
      </c>
      <c r="R442" s="12">
        <v>1.7041621624253251</v>
      </c>
      <c r="S442" s="12">
        <v>0.33242462413646962</v>
      </c>
      <c r="T442" s="16">
        <v>0.130140282090975</v>
      </c>
      <c r="U442" s="12">
        <v>5.5898688672684091E-2</v>
      </c>
    </row>
    <row r="443" spans="1:21" x14ac:dyDescent="0.25">
      <c r="A443" s="4">
        <v>39356</v>
      </c>
      <c r="B443" s="10"/>
      <c r="C443" s="9">
        <v>28.511503162490314</v>
      </c>
      <c r="D443" s="5">
        <f t="shared" si="9"/>
        <v>10</v>
      </c>
      <c r="Q443" s="4">
        <v>39356</v>
      </c>
      <c r="R443" s="12">
        <v>35.399979319326491</v>
      </c>
      <c r="S443" s="12">
        <v>35.142339132153182</v>
      </c>
      <c r="T443" s="16">
        <v>0.71329106698651201</v>
      </c>
      <c r="U443" s="12">
        <v>35.309689880943253</v>
      </c>
    </row>
    <row r="444" spans="1:21" x14ac:dyDescent="0.25">
      <c r="A444" s="4">
        <v>39387</v>
      </c>
      <c r="B444" s="10"/>
      <c r="C444" s="9">
        <v>32.8216901753202</v>
      </c>
      <c r="D444" s="5">
        <f t="shared" si="9"/>
        <v>11</v>
      </c>
      <c r="Q444" s="4">
        <v>39387</v>
      </c>
      <c r="R444" s="12">
        <v>33.784334022204703</v>
      </c>
      <c r="S444" s="12">
        <v>33.134301656561462</v>
      </c>
      <c r="T444" s="16">
        <v>0.64333001465101991</v>
      </c>
      <c r="U444" s="12">
        <v>33.204234702243383</v>
      </c>
    </row>
    <row r="445" spans="1:21" x14ac:dyDescent="0.25">
      <c r="A445" s="4">
        <v>39417</v>
      </c>
      <c r="B445" s="10"/>
      <c r="C445" s="9">
        <v>4.9570727378583488</v>
      </c>
      <c r="D445" s="5">
        <f t="shared" si="9"/>
        <v>12</v>
      </c>
      <c r="Q445" s="4">
        <v>39417</v>
      </c>
      <c r="R445" s="12">
        <v>9.0334807307689733</v>
      </c>
      <c r="S445" s="12">
        <v>11.424392323200589</v>
      </c>
      <c r="T445" s="16">
        <v>0.36173316207956346</v>
      </c>
      <c r="U445" s="12">
        <v>12.921599947064143</v>
      </c>
    </row>
    <row r="446" spans="1:21" x14ac:dyDescent="0.25">
      <c r="A446" s="4">
        <v>39448</v>
      </c>
      <c r="B446" s="10"/>
      <c r="C446" s="9">
        <v>4.8637661062072839</v>
      </c>
      <c r="D446" s="5">
        <f t="shared" si="9"/>
        <v>1</v>
      </c>
      <c r="Q446" s="4">
        <v>39448</v>
      </c>
      <c r="R446" s="12">
        <v>8.3321208924589492</v>
      </c>
      <c r="S446" s="12">
        <v>1.8679694393650392</v>
      </c>
      <c r="T446" s="16">
        <v>0.24857859311549554</v>
      </c>
      <c r="U446" s="12">
        <v>1.7802832745700086</v>
      </c>
    </row>
    <row r="447" spans="1:21" x14ac:dyDescent="0.25">
      <c r="A447" s="4">
        <v>39479</v>
      </c>
      <c r="B447" s="10"/>
      <c r="C447" s="9">
        <v>0.97336634443834036</v>
      </c>
      <c r="D447" s="5">
        <f t="shared" si="9"/>
        <v>2</v>
      </c>
      <c r="Q447" s="4">
        <v>39479</v>
      </c>
      <c r="R447" s="12">
        <v>1.3948418546764489</v>
      </c>
      <c r="S447" s="12">
        <v>2.1889954744925078</v>
      </c>
      <c r="T447" s="16">
        <v>4.7455239520450936E-2</v>
      </c>
      <c r="U447" s="12">
        <v>2.2380238817304692</v>
      </c>
    </row>
    <row r="448" spans="1:21" x14ac:dyDescent="0.25">
      <c r="A448" s="4">
        <v>39508</v>
      </c>
      <c r="B448" s="10"/>
      <c r="C448" s="9">
        <v>13.160393089542705</v>
      </c>
      <c r="D448" s="5">
        <f t="shared" si="9"/>
        <v>3</v>
      </c>
      <c r="Q448" s="4">
        <v>39508</v>
      </c>
      <c r="R448" s="12">
        <v>14.885763854565575</v>
      </c>
      <c r="S448" s="12">
        <v>10.241499074587772</v>
      </c>
      <c r="T448" s="16">
        <v>0.36963018405392012</v>
      </c>
      <c r="U448" s="12">
        <v>9.7928202994767766</v>
      </c>
    </row>
    <row r="449" spans="1:21" x14ac:dyDescent="0.25">
      <c r="A449" s="4">
        <v>39539</v>
      </c>
      <c r="B449" s="10"/>
      <c r="C449" s="9">
        <v>104.57014583637842</v>
      </c>
      <c r="D449" s="5">
        <f t="shared" si="9"/>
        <v>4</v>
      </c>
      <c r="Q449" s="4">
        <v>39539</v>
      </c>
      <c r="R449" s="12">
        <v>84.040928297023086</v>
      </c>
      <c r="S449" s="12">
        <v>157.9928574348769</v>
      </c>
      <c r="T449" s="16">
        <v>0.99646984398586658</v>
      </c>
      <c r="U449" s="12">
        <v>123.33536409042553</v>
      </c>
    </row>
    <row r="450" spans="1:21" x14ac:dyDescent="0.25">
      <c r="A450" s="4">
        <v>39569</v>
      </c>
      <c r="B450" s="10"/>
      <c r="C450" s="9">
        <v>23.377339022434608</v>
      </c>
      <c r="D450" s="5">
        <f t="shared" si="9"/>
        <v>5</v>
      </c>
      <c r="Q450" s="4">
        <v>39569</v>
      </c>
      <c r="R450" s="12">
        <v>10.352547317312673</v>
      </c>
      <c r="S450" s="12">
        <v>6.6715555188347713</v>
      </c>
      <c r="T450" s="16">
        <v>0.38482018882638153</v>
      </c>
      <c r="U450" s="12">
        <v>6.8046583157301876</v>
      </c>
    </row>
    <row r="451" spans="1:21" x14ac:dyDescent="0.25">
      <c r="A451" s="4">
        <v>39600</v>
      </c>
      <c r="B451" s="10"/>
      <c r="C451" s="9">
        <v>56.142901488940815</v>
      </c>
      <c r="D451" s="5">
        <f t="shared" ref="D451:D514" si="10">MONTH(A451)</f>
        <v>6</v>
      </c>
      <c r="Q451" s="4">
        <v>39600</v>
      </c>
      <c r="R451" s="12">
        <v>20.22058631404477</v>
      </c>
      <c r="S451" s="12">
        <v>21.555684961794697</v>
      </c>
      <c r="T451" s="16">
        <v>0.849611625330708</v>
      </c>
      <c r="U451" s="12">
        <v>23.235029165888886</v>
      </c>
    </row>
    <row r="452" spans="1:21" x14ac:dyDescent="0.25">
      <c r="A452" s="4">
        <v>39630</v>
      </c>
      <c r="B452" s="10"/>
      <c r="C452" s="9">
        <v>20.411803545449029</v>
      </c>
      <c r="D452" s="5">
        <f t="shared" si="10"/>
        <v>7</v>
      </c>
      <c r="Q452" s="4">
        <v>39630</v>
      </c>
      <c r="R452" s="12">
        <v>4.1486315773204714</v>
      </c>
      <c r="S452" s="12">
        <v>1.2531883274016817</v>
      </c>
      <c r="T452" s="16">
        <v>0.19216374911415623</v>
      </c>
      <c r="U452" s="12">
        <v>1.3523774201297134</v>
      </c>
    </row>
    <row r="453" spans="1:21" x14ac:dyDescent="0.25">
      <c r="A453" s="4">
        <v>39661</v>
      </c>
      <c r="B453" s="10"/>
      <c r="C453" s="9">
        <v>71.40836020918394</v>
      </c>
      <c r="D453" s="5">
        <f t="shared" si="10"/>
        <v>8</v>
      </c>
      <c r="Q453" s="4">
        <v>39661</v>
      </c>
      <c r="R453" s="12">
        <v>24.544874700375789</v>
      </c>
      <c r="S453" s="12">
        <v>32.723332333821809</v>
      </c>
      <c r="T453" s="16">
        <v>0.94855519195515658</v>
      </c>
      <c r="U453" s="12">
        <v>30.494597360246228</v>
      </c>
    </row>
    <row r="454" spans="1:21" x14ac:dyDescent="0.25">
      <c r="A454" s="4">
        <v>39692</v>
      </c>
      <c r="B454" s="10"/>
      <c r="C454" s="9">
        <v>46.923374833400565</v>
      </c>
      <c r="D454" s="5">
        <f t="shared" si="10"/>
        <v>9</v>
      </c>
      <c r="Q454" s="4">
        <v>39692</v>
      </c>
      <c r="R454" s="12">
        <v>18.928500168280639</v>
      </c>
      <c r="S454" s="12">
        <v>15.781734791823132</v>
      </c>
      <c r="T454" s="16">
        <v>0.74318410119012435</v>
      </c>
      <c r="U454" s="12">
        <v>15.822432726909753</v>
      </c>
    </row>
    <row r="455" spans="1:21" x14ac:dyDescent="0.25">
      <c r="A455" s="4">
        <v>39722</v>
      </c>
      <c r="B455" s="10"/>
      <c r="C455" s="9">
        <v>18.871229325029727</v>
      </c>
      <c r="D455" s="5">
        <f t="shared" si="10"/>
        <v>10</v>
      </c>
      <c r="Q455" s="4">
        <v>39722</v>
      </c>
      <c r="R455" s="12">
        <v>23.430582527658299</v>
      </c>
      <c r="S455" s="12">
        <v>22.742229778427387</v>
      </c>
      <c r="T455" s="16">
        <v>0.54452170025385738</v>
      </c>
      <c r="U455" s="12">
        <v>22.796819928532585</v>
      </c>
    </row>
    <row r="456" spans="1:21" x14ac:dyDescent="0.25">
      <c r="A456" s="4">
        <v>39753</v>
      </c>
      <c r="B456" s="10"/>
      <c r="C456" s="9">
        <v>16.529535593291989</v>
      </c>
      <c r="D456" s="5">
        <f t="shared" si="10"/>
        <v>11</v>
      </c>
      <c r="Q456" s="4">
        <v>39753</v>
      </c>
      <c r="R456" s="12">
        <v>17.01433865022614</v>
      </c>
      <c r="S456" s="12">
        <v>16.272433729796091</v>
      </c>
      <c r="T456" s="16">
        <v>0.43735048698554141</v>
      </c>
      <c r="U456" s="12">
        <v>16.185500140951316</v>
      </c>
    </row>
    <row r="457" spans="1:21" x14ac:dyDescent="0.25">
      <c r="A457" s="4">
        <v>39783</v>
      </c>
      <c r="B457" s="10"/>
      <c r="C457" s="9">
        <v>15.640953812241923</v>
      </c>
      <c r="D457" s="5">
        <f t="shared" si="10"/>
        <v>12</v>
      </c>
      <c r="Q457" s="4">
        <v>39783</v>
      </c>
      <c r="R457" s="12">
        <v>28.503163529284578</v>
      </c>
      <c r="S457" s="12">
        <v>29.881598545272269</v>
      </c>
      <c r="T457" s="16">
        <v>0.67966921294024341</v>
      </c>
      <c r="U457" s="12">
        <v>30.202106749075316</v>
      </c>
    </row>
    <row r="458" spans="1:21" x14ac:dyDescent="0.25">
      <c r="A458" s="4">
        <v>39814</v>
      </c>
      <c r="B458" s="10"/>
      <c r="C458" s="9">
        <v>73.296532234295313</v>
      </c>
      <c r="D458" s="5">
        <f t="shared" si="10"/>
        <v>1</v>
      </c>
      <c r="Q458" s="4">
        <v>39814</v>
      </c>
      <c r="R458" s="12">
        <v>125.56433723133793</v>
      </c>
      <c r="S458" s="12">
        <v>270.91526014660303</v>
      </c>
      <c r="T458" s="16">
        <v>0.9919285635622026</v>
      </c>
      <c r="U458" s="12">
        <v>210.05962619465714</v>
      </c>
    </row>
    <row r="459" spans="1:21" x14ac:dyDescent="0.25">
      <c r="A459" s="4">
        <v>39845</v>
      </c>
      <c r="B459" s="10"/>
      <c r="C459" s="9">
        <v>44.584875746053889</v>
      </c>
      <c r="D459" s="5">
        <f t="shared" si="10"/>
        <v>2</v>
      </c>
      <c r="Q459" s="4">
        <v>39845</v>
      </c>
      <c r="R459" s="12">
        <v>63.890488027947526</v>
      </c>
      <c r="S459" s="12">
        <v>61.023651187540374</v>
      </c>
      <c r="T459" s="16">
        <v>0.88849273448131183</v>
      </c>
      <c r="U459" s="12">
        <v>60.984227490690202</v>
      </c>
    </row>
    <row r="460" spans="1:21" x14ac:dyDescent="0.25">
      <c r="A460" s="4">
        <v>39873</v>
      </c>
      <c r="B460" s="10"/>
      <c r="C460" s="9">
        <v>7.2388114205401521</v>
      </c>
      <c r="D460" s="5">
        <f t="shared" si="10"/>
        <v>3</v>
      </c>
      <c r="Q460" s="4">
        <v>39873</v>
      </c>
      <c r="R460" s="12">
        <v>8.1878433767693277</v>
      </c>
      <c r="S460" s="12">
        <v>4.310125539552228</v>
      </c>
      <c r="T460" s="16">
        <v>0.17216781755560609</v>
      </c>
      <c r="U460" s="12">
        <v>3.5060572300188895</v>
      </c>
    </row>
    <row r="461" spans="1:21" x14ac:dyDescent="0.25">
      <c r="A461" s="4">
        <v>39904</v>
      </c>
      <c r="B461" s="10"/>
      <c r="C461" s="9">
        <v>3.1754164134237164</v>
      </c>
      <c r="D461" s="5">
        <f t="shared" si="10"/>
        <v>4</v>
      </c>
      <c r="Q461" s="4">
        <v>39904</v>
      </c>
      <c r="R461" s="12">
        <v>2.5520184654929912</v>
      </c>
      <c r="S461" s="12">
        <v>0.56300491696026189</v>
      </c>
      <c r="T461" s="16">
        <v>3.1567077605602033E-2</v>
      </c>
      <c r="U461" s="12">
        <v>0.49918042450338795</v>
      </c>
    </row>
    <row r="462" spans="1:21" x14ac:dyDescent="0.25">
      <c r="A462" s="4">
        <v>39934</v>
      </c>
      <c r="B462" s="10"/>
      <c r="C462" s="9">
        <v>8.5177463713110981</v>
      </c>
      <c r="D462" s="5">
        <f t="shared" si="10"/>
        <v>5</v>
      </c>
      <c r="Q462" s="4">
        <v>39934</v>
      </c>
      <c r="R462" s="12">
        <v>3.7720448961809603</v>
      </c>
      <c r="S462" s="12">
        <v>1.2958113465252736</v>
      </c>
      <c r="T462" s="16">
        <v>7.8603892290967509E-2</v>
      </c>
      <c r="U462" s="12">
        <v>0.95489508489291031</v>
      </c>
    </row>
    <row r="463" spans="1:21" x14ac:dyDescent="0.25">
      <c r="A463" s="4">
        <v>39965</v>
      </c>
      <c r="B463" s="10"/>
      <c r="C463" s="9">
        <v>9.3210187948694951</v>
      </c>
      <c r="D463" s="5">
        <f t="shared" si="10"/>
        <v>6</v>
      </c>
      <c r="Q463" s="4">
        <v>39965</v>
      </c>
      <c r="R463" s="12">
        <v>3.3570845125205864</v>
      </c>
      <c r="S463" s="12">
        <v>0.88793492218076109</v>
      </c>
      <c r="T463" s="16">
        <v>0.19977714255340442</v>
      </c>
      <c r="U463" s="12">
        <v>0.59844210579874269</v>
      </c>
    </row>
    <row r="464" spans="1:21" x14ac:dyDescent="0.25">
      <c r="A464" s="4">
        <v>39995</v>
      </c>
      <c r="B464" s="10"/>
      <c r="C464" s="9">
        <v>27.412804206921994</v>
      </c>
      <c r="D464" s="5">
        <f t="shared" si="10"/>
        <v>7</v>
      </c>
      <c r="Q464" s="4">
        <v>39995</v>
      </c>
      <c r="R464" s="12">
        <v>5.5715618123855633</v>
      </c>
      <c r="S464" s="12">
        <v>2.286943563167926</v>
      </c>
      <c r="T464" s="16">
        <v>0.30737018141850836</v>
      </c>
      <c r="U464" s="12">
        <v>2.6454272516960242</v>
      </c>
    </row>
    <row r="465" spans="1:21" x14ac:dyDescent="0.25">
      <c r="A465" s="4">
        <v>40026</v>
      </c>
      <c r="B465" s="10"/>
      <c r="C465" s="9">
        <v>36.27282008122544</v>
      </c>
      <c r="D465" s="5">
        <f t="shared" si="10"/>
        <v>8</v>
      </c>
      <c r="Q465" s="4">
        <v>40026</v>
      </c>
      <c r="R465" s="12">
        <v>12.467893413528474</v>
      </c>
      <c r="S465" s="12">
        <v>11.321758391874342</v>
      </c>
      <c r="T465" s="16">
        <v>0.74909241886634748</v>
      </c>
      <c r="U465" s="12">
        <v>12.421265487676161</v>
      </c>
    </row>
    <row r="466" spans="1:21" x14ac:dyDescent="0.25">
      <c r="A466" s="4">
        <v>40057</v>
      </c>
      <c r="B466" s="10"/>
      <c r="C466" s="9">
        <v>2.8152082304702284</v>
      </c>
      <c r="D466" s="5">
        <f t="shared" si="10"/>
        <v>9</v>
      </c>
      <c r="Q466" s="4">
        <v>40057</v>
      </c>
      <c r="R466" s="12">
        <v>1.1356316474123258</v>
      </c>
      <c r="S466" s="12">
        <v>0.17340707453044366</v>
      </c>
      <c r="T466" s="16">
        <v>9.1027685007129738E-2</v>
      </c>
      <c r="U466" s="12">
        <v>1.8506367724691278E-2</v>
      </c>
    </row>
    <row r="467" spans="1:21" x14ac:dyDescent="0.25">
      <c r="A467" s="4">
        <v>40087</v>
      </c>
      <c r="B467" s="10"/>
      <c r="C467" s="9">
        <v>5.1397953763145141</v>
      </c>
      <c r="D467" s="5">
        <f t="shared" si="10"/>
        <v>10</v>
      </c>
      <c r="Q467" s="4">
        <v>40087</v>
      </c>
      <c r="R467" s="12">
        <v>6.3815874242111184</v>
      </c>
      <c r="S467" s="12">
        <v>5.7698154799504007</v>
      </c>
      <c r="T467" s="16">
        <v>0.16065180166107326</v>
      </c>
      <c r="U467" s="12">
        <v>5.6256030263096886</v>
      </c>
    </row>
    <row r="468" spans="1:21" x14ac:dyDescent="0.25">
      <c r="A468" s="4">
        <v>40118</v>
      </c>
      <c r="B468" s="10"/>
      <c r="C468" s="9">
        <v>6.371675012328792</v>
      </c>
      <c r="D468" s="5">
        <f t="shared" si="10"/>
        <v>11</v>
      </c>
      <c r="Q468" s="4">
        <v>40118</v>
      </c>
      <c r="R468" s="12">
        <v>6.5585530710820903</v>
      </c>
      <c r="S468" s="12">
        <v>6.057067655457236</v>
      </c>
      <c r="T468" s="16">
        <v>0.23002131621709263</v>
      </c>
      <c r="U468" s="12">
        <v>5.9126098935765254</v>
      </c>
    </row>
    <row r="469" spans="1:21" x14ac:dyDescent="0.25">
      <c r="A469" s="4">
        <v>40148</v>
      </c>
      <c r="B469" s="10"/>
      <c r="C469" s="9">
        <v>15.769281194948489</v>
      </c>
      <c r="D469" s="5">
        <f t="shared" si="10"/>
        <v>12</v>
      </c>
      <c r="Q469" s="4">
        <v>40148</v>
      </c>
      <c r="R469" s="12">
        <v>28.73701987963755</v>
      </c>
      <c r="S469" s="12">
        <v>30.086604454921037</v>
      </c>
      <c r="T469" s="16">
        <v>0.68214868434568598</v>
      </c>
      <c r="U469" s="12">
        <v>30.3922897090305</v>
      </c>
    </row>
    <row r="470" spans="1:21" x14ac:dyDescent="0.25">
      <c r="A470" s="4">
        <v>40179</v>
      </c>
      <c r="B470" s="10"/>
      <c r="C470" s="9">
        <v>12.079187742246098</v>
      </c>
      <c r="D470" s="5">
        <f t="shared" si="10"/>
        <v>1</v>
      </c>
      <c r="Q470" s="4">
        <v>40179</v>
      </c>
      <c r="R470" s="12">
        <v>20.692864408643391</v>
      </c>
      <c r="S470" s="12">
        <v>9.9126602076246613</v>
      </c>
      <c r="T470" s="16">
        <v>0.52535510308971722</v>
      </c>
      <c r="U470" s="12">
        <v>11.818481202319429</v>
      </c>
    </row>
    <row r="471" spans="1:21" x14ac:dyDescent="0.25">
      <c r="A471" s="4">
        <v>40210</v>
      </c>
      <c r="B471" s="10"/>
      <c r="C471" s="9">
        <v>26.40048993118641</v>
      </c>
      <c r="D471" s="5">
        <f t="shared" si="10"/>
        <v>2</v>
      </c>
      <c r="Q471" s="4">
        <v>40210</v>
      </c>
      <c r="R471" s="12">
        <v>37.832115883595442</v>
      </c>
      <c r="S471" s="12">
        <v>38.678688436263201</v>
      </c>
      <c r="T471" s="16">
        <v>0.72767119592660512</v>
      </c>
      <c r="U471" s="12">
        <v>37.931974204921602</v>
      </c>
    </row>
    <row r="472" spans="1:21" x14ac:dyDescent="0.25">
      <c r="A472" s="4">
        <v>40238</v>
      </c>
      <c r="B472" s="10"/>
      <c r="C472" s="9">
        <v>4.5815271555656061</v>
      </c>
      <c r="D472" s="5">
        <f t="shared" si="10"/>
        <v>3</v>
      </c>
      <c r="Q472" s="4">
        <v>40238</v>
      </c>
      <c r="R472" s="12">
        <v>5.1821804156610423</v>
      </c>
      <c r="S472" s="12">
        <v>2.2225787870540583</v>
      </c>
      <c r="T472" s="16">
        <v>8.8195291471292778E-2</v>
      </c>
      <c r="U472" s="12">
        <v>1.5179949668033337</v>
      </c>
    </row>
    <row r="473" spans="1:21" x14ac:dyDescent="0.25">
      <c r="A473" s="4">
        <v>40269</v>
      </c>
      <c r="B473" s="10"/>
      <c r="C473" s="9">
        <v>58.385085331568902</v>
      </c>
      <c r="D473" s="5">
        <f t="shared" si="10"/>
        <v>4</v>
      </c>
      <c r="Q473" s="4">
        <v>40269</v>
      </c>
      <c r="R473" s="12">
        <v>46.922921745213579</v>
      </c>
      <c r="S473" s="12">
        <v>61.707828011568978</v>
      </c>
      <c r="T473" s="16">
        <v>0.93551543675260862</v>
      </c>
      <c r="U473" s="12">
        <v>58.512204255576911</v>
      </c>
    </row>
    <row r="474" spans="1:21" x14ac:dyDescent="0.25">
      <c r="A474" s="4">
        <v>40299</v>
      </c>
      <c r="B474" s="10"/>
      <c r="C474" s="9">
        <v>40.088544751309357</v>
      </c>
      <c r="D474" s="5">
        <f t="shared" si="10"/>
        <v>5</v>
      </c>
      <c r="Q474" s="4">
        <v>40299</v>
      </c>
      <c r="R474" s="12">
        <v>17.753028093653196</v>
      </c>
      <c r="S474" s="12">
        <v>16.010327853093763</v>
      </c>
      <c r="T474" s="16">
        <v>0.6778663088987682</v>
      </c>
      <c r="U474" s="12">
        <v>16.961544208666101</v>
      </c>
    </row>
    <row r="475" spans="1:21" x14ac:dyDescent="0.25">
      <c r="A475" s="4">
        <v>40330</v>
      </c>
      <c r="B475" s="10"/>
      <c r="C475" s="9">
        <v>64.854001450117494</v>
      </c>
      <c r="D475" s="5">
        <f t="shared" si="10"/>
        <v>6</v>
      </c>
      <c r="Q475" s="4">
        <v>40330</v>
      </c>
      <c r="R475" s="12">
        <v>23.358000733033116</v>
      </c>
      <c r="S475" s="12">
        <v>27.850304601859879</v>
      </c>
      <c r="T475" s="16">
        <v>0.89257875015366195</v>
      </c>
      <c r="U475" s="12">
        <v>29.335271367836651</v>
      </c>
    </row>
    <row r="476" spans="1:21" x14ac:dyDescent="0.25">
      <c r="A476" s="4">
        <v>40360</v>
      </c>
      <c r="B476" s="10"/>
      <c r="C476" s="9">
        <v>116.75936237370962</v>
      </c>
      <c r="D476" s="5">
        <f t="shared" si="10"/>
        <v>7</v>
      </c>
      <c r="Q476" s="4">
        <v>40360</v>
      </c>
      <c r="R476" s="12">
        <v>23.73095432810857</v>
      </c>
      <c r="S476" s="12">
        <v>43.950938532500892</v>
      </c>
      <c r="T476" s="16">
        <v>0.97206733082129904</v>
      </c>
      <c r="U476" s="12">
        <v>37.24792948942877</v>
      </c>
    </row>
    <row r="477" spans="1:21" x14ac:dyDescent="0.25">
      <c r="A477" s="4">
        <v>40391</v>
      </c>
      <c r="B477" s="10"/>
      <c r="C477" s="9">
        <v>57.524810292389404</v>
      </c>
      <c r="D477" s="5">
        <f t="shared" si="10"/>
        <v>8</v>
      </c>
      <c r="Q477" s="4">
        <v>40391</v>
      </c>
      <c r="R477" s="12">
        <v>19.772744488928815</v>
      </c>
      <c r="S477" s="12">
        <v>23.320149391642847</v>
      </c>
      <c r="T477" s="16">
        <v>0.90288806264011101</v>
      </c>
      <c r="U477" s="12">
        <v>23.084613686922385</v>
      </c>
    </row>
    <row r="478" spans="1:21" x14ac:dyDescent="0.25">
      <c r="A478" s="4">
        <v>40422</v>
      </c>
      <c r="B478" s="10"/>
      <c r="C478" s="9">
        <v>183.2627760689528</v>
      </c>
      <c r="D478" s="5">
        <f t="shared" si="10"/>
        <v>9</v>
      </c>
      <c r="Q478" s="4">
        <v>40422</v>
      </c>
      <c r="R478" s="12">
        <v>73.926683661967914</v>
      </c>
      <c r="S478" s="12">
        <v>140.22564366764706</v>
      </c>
      <c r="T478" s="16">
        <v>0.99381667457672374</v>
      </c>
      <c r="U478" s="12">
        <v>135.03010393243324</v>
      </c>
    </row>
    <row r="479" spans="1:21" x14ac:dyDescent="0.25">
      <c r="A479" s="4">
        <v>40452</v>
      </c>
      <c r="B479" s="10"/>
      <c r="C479" s="9">
        <v>193.31700743857115</v>
      </c>
      <c r="D479" s="5">
        <f t="shared" si="10"/>
        <v>10</v>
      </c>
      <c r="Q479" s="4">
        <v>40452</v>
      </c>
      <c r="R479" s="12">
        <v>240.02305407743964</v>
      </c>
      <c r="S479" s="12">
        <v>264.50331085734382</v>
      </c>
      <c r="T479" s="16">
        <v>0.99994429815823271</v>
      </c>
      <c r="U479" s="12">
        <v>257.62757052105752</v>
      </c>
    </row>
    <row r="480" spans="1:21" x14ac:dyDescent="0.25">
      <c r="A480" s="4">
        <v>40483</v>
      </c>
      <c r="B480" s="10"/>
      <c r="C480" s="9">
        <v>9.2188948871762264</v>
      </c>
      <c r="D480" s="5">
        <f t="shared" si="10"/>
        <v>11</v>
      </c>
      <c r="Q480" s="4">
        <v>40483</v>
      </c>
      <c r="R480" s="12">
        <v>9.4892804886126889</v>
      </c>
      <c r="S480" s="12">
        <v>8.8832321695857726</v>
      </c>
      <c r="T480" s="16">
        <v>0.29801360116488607</v>
      </c>
      <c r="U480" s="12">
        <v>8.7434944718406644</v>
      </c>
    </row>
    <row r="481" spans="1:21" x14ac:dyDescent="0.25">
      <c r="A481" s="4">
        <v>40513</v>
      </c>
      <c r="B481" s="10"/>
      <c r="C481" s="9">
        <v>32.724081998539184</v>
      </c>
      <c r="D481" s="5">
        <f t="shared" si="10"/>
        <v>12</v>
      </c>
      <c r="Q481" s="4">
        <v>40513</v>
      </c>
      <c r="R481" s="12">
        <v>59.634461666911868</v>
      </c>
      <c r="S481" s="12">
        <v>55.420429364150387</v>
      </c>
      <c r="T481" s="16">
        <v>0.88117402870268058</v>
      </c>
      <c r="U481" s="12">
        <v>54.08589367961919</v>
      </c>
    </row>
    <row r="482" spans="1:21" x14ac:dyDescent="0.25">
      <c r="A482" s="4">
        <v>40544</v>
      </c>
      <c r="B482" s="10"/>
      <c r="C482" s="9">
        <v>5.1850179141550079</v>
      </c>
      <c r="D482" s="5">
        <f t="shared" si="10"/>
        <v>1</v>
      </c>
      <c r="Q482" s="4">
        <v>40544</v>
      </c>
      <c r="R482" s="12">
        <v>8.8824575744234338</v>
      </c>
      <c r="S482" s="12">
        <v>2.1005494607909734</v>
      </c>
      <c r="T482" s="16">
        <v>0.26347169728834102</v>
      </c>
      <c r="U482" s="12">
        <v>2.0516391896529425</v>
      </c>
    </row>
    <row r="483" spans="1:21" x14ac:dyDescent="0.25">
      <c r="A483" s="4">
        <v>40575</v>
      </c>
      <c r="B483" s="10"/>
      <c r="C483" s="9">
        <v>5.1816240705369161</v>
      </c>
      <c r="D483" s="5">
        <f t="shared" si="10"/>
        <v>2</v>
      </c>
      <c r="Q483" s="4">
        <v>40575</v>
      </c>
      <c r="R483" s="12">
        <v>7.4253092580002233</v>
      </c>
      <c r="S483" s="12">
        <v>9.3787230948994083</v>
      </c>
      <c r="T483" s="16">
        <v>0.22647560214105286</v>
      </c>
      <c r="U483" s="12">
        <v>9.1267709234384373</v>
      </c>
    </row>
    <row r="484" spans="1:21" x14ac:dyDescent="0.25">
      <c r="A484" s="4">
        <v>40603</v>
      </c>
      <c r="B484" s="10"/>
      <c r="C484" s="9">
        <v>53.895500263422427</v>
      </c>
      <c r="D484" s="5">
        <f t="shared" si="10"/>
        <v>3</v>
      </c>
      <c r="Q484" s="4">
        <v>40603</v>
      </c>
      <c r="R484" s="12">
        <v>60.961377390959093</v>
      </c>
      <c r="S484" s="12">
        <v>78.864337888509382</v>
      </c>
      <c r="T484" s="16">
        <v>0.95299526320012506</v>
      </c>
      <c r="U484" s="12">
        <v>79.057263789670955</v>
      </c>
    </row>
    <row r="485" spans="1:21" x14ac:dyDescent="0.25">
      <c r="A485" s="4">
        <v>40634</v>
      </c>
      <c r="B485" s="10"/>
      <c r="C485" s="9">
        <v>71.761424372754277</v>
      </c>
      <c r="D485" s="5">
        <f t="shared" si="10"/>
        <v>4</v>
      </c>
      <c r="Q485" s="4">
        <v>40634</v>
      </c>
      <c r="R485" s="12">
        <v>57.673217073250235</v>
      </c>
      <c r="S485" s="12">
        <v>86.071786819017703</v>
      </c>
      <c r="T485" s="16">
        <v>0.97154827772552266</v>
      </c>
      <c r="U485" s="12">
        <v>76.686892806853223</v>
      </c>
    </row>
    <row r="486" spans="1:21" x14ac:dyDescent="0.25">
      <c r="A486" s="4">
        <v>40664</v>
      </c>
      <c r="B486" s="10"/>
      <c r="C486" s="9">
        <v>18.595297148822887</v>
      </c>
      <c r="D486" s="5">
        <f t="shared" si="10"/>
        <v>5</v>
      </c>
      <c r="Q486" s="4">
        <v>40664</v>
      </c>
      <c r="R486" s="12">
        <v>8.2348420163617817</v>
      </c>
      <c r="S486" s="12">
        <v>4.6015389722573072</v>
      </c>
      <c r="T486" s="16">
        <v>0.28224701125254525</v>
      </c>
      <c r="U486" s="12">
        <v>4.4849460850951939</v>
      </c>
    </row>
    <row r="487" spans="1:21" x14ac:dyDescent="0.25">
      <c r="A487" s="4">
        <v>40695</v>
      </c>
      <c r="B487" s="10"/>
      <c r="C487" s="9">
        <v>45.131496217634677</v>
      </c>
      <c r="D487" s="5">
        <f t="shared" si="10"/>
        <v>6</v>
      </c>
      <c r="Q487" s="4">
        <v>40695</v>
      </c>
      <c r="R487" s="12">
        <v>16.254687423492545</v>
      </c>
      <c r="S487" s="12">
        <v>14.626683184457303</v>
      </c>
      <c r="T487" s="16">
        <v>0.77138783860702476</v>
      </c>
      <c r="U487" s="12">
        <v>16.069722028066387</v>
      </c>
    </row>
    <row r="488" spans="1:21" x14ac:dyDescent="0.25">
      <c r="A488" s="4">
        <v>40725</v>
      </c>
      <c r="B488" s="10"/>
      <c r="C488" s="9">
        <v>41.589060769364174</v>
      </c>
      <c r="D488" s="5">
        <f t="shared" si="10"/>
        <v>7</v>
      </c>
      <c r="Q488" s="4">
        <v>40725</v>
      </c>
      <c r="R488" s="12">
        <v>8.4528390837542062</v>
      </c>
      <c r="S488" s="12">
        <v>5.3519034403736212</v>
      </c>
      <c r="T488" s="16">
        <v>0.52968516575136193</v>
      </c>
      <c r="U488" s="12">
        <v>6.3004270683648373</v>
      </c>
    </row>
    <row r="489" spans="1:21" x14ac:dyDescent="0.25">
      <c r="A489" s="4">
        <v>40756</v>
      </c>
      <c r="B489" s="10"/>
      <c r="C489" s="9">
        <v>47.815487566434633</v>
      </c>
      <c r="D489" s="5">
        <f t="shared" si="10"/>
        <v>8</v>
      </c>
      <c r="Q489" s="4">
        <v>40756</v>
      </c>
      <c r="R489" s="12">
        <v>16.435402628172561</v>
      </c>
      <c r="S489" s="12">
        <v>17.455283699673746</v>
      </c>
      <c r="T489" s="16">
        <v>0.84950649153032076</v>
      </c>
      <c r="U489" s="12">
        <v>18.085429655680283</v>
      </c>
    </row>
    <row r="490" spans="1:21" x14ac:dyDescent="0.25">
      <c r="A490" s="4">
        <v>40787</v>
      </c>
      <c r="B490" s="10"/>
      <c r="C490" s="9">
        <v>8.8532113235090737</v>
      </c>
      <c r="D490" s="5">
        <f t="shared" si="10"/>
        <v>9</v>
      </c>
      <c r="Q490" s="4">
        <v>40787</v>
      </c>
      <c r="R490" s="12">
        <v>3.5713120086064594</v>
      </c>
      <c r="S490" s="12">
        <v>1.0886132716461516</v>
      </c>
      <c r="T490" s="16">
        <v>0.24347087598470704</v>
      </c>
      <c r="U490" s="12">
        <v>0.38969160298639938</v>
      </c>
    </row>
    <row r="491" spans="1:21" x14ac:dyDescent="0.25">
      <c r="A491" s="4">
        <v>40817</v>
      </c>
      <c r="B491" s="10"/>
      <c r="C491" s="9">
        <v>11.365579025958626</v>
      </c>
      <c r="D491" s="5">
        <f t="shared" si="10"/>
        <v>10</v>
      </c>
      <c r="Q491" s="4">
        <v>40817</v>
      </c>
      <c r="R491" s="12">
        <v>14.111541582992571</v>
      </c>
      <c r="S491" s="12">
        <v>13.323259792264441</v>
      </c>
      <c r="T491" s="16">
        <v>0.35667514057603461</v>
      </c>
      <c r="U491" s="12">
        <v>13.257362633907112</v>
      </c>
    </row>
    <row r="492" spans="1:21" x14ac:dyDescent="0.25">
      <c r="A492" s="4">
        <v>40848</v>
      </c>
      <c r="B492" s="10"/>
      <c r="C492" s="9">
        <v>6.8547753929664967</v>
      </c>
      <c r="D492" s="5">
        <f t="shared" si="10"/>
        <v>11</v>
      </c>
      <c r="Q492" s="4">
        <v>40848</v>
      </c>
      <c r="R492" s="12">
        <v>7.0558225455831609</v>
      </c>
      <c r="S492" s="12">
        <v>6.5338030175573838</v>
      </c>
      <c r="T492" s="16">
        <v>0.2422973110929868</v>
      </c>
      <c r="U492" s="12">
        <v>6.3890060739763337</v>
      </c>
    </row>
    <row r="493" spans="1:21" x14ac:dyDescent="0.25">
      <c r="A493" s="4">
        <v>40878</v>
      </c>
      <c r="B493" s="10"/>
      <c r="C493" s="9">
        <v>2.0225356277189439</v>
      </c>
      <c r="D493" s="5">
        <f t="shared" si="10"/>
        <v>12</v>
      </c>
      <c r="Q493" s="4">
        <v>40878</v>
      </c>
      <c r="R493" s="12">
        <v>3.6857511653513488</v>
      </c>
      <c r="S493" s="12">
        <v>5.3958691976495903</v>
      </c>
      <c r="T493" s="16">
        <v>0.20055670321915917</v>
      </c>
      <c r="U493" s="12">
        <v>6.9212582930975524</v>
      </c>
    </row>
    <row r="494" spans="1:21" x14ac:dyDescent="0.25">
      <c r="A494" s="4">
        <v>40909</v>
      </c>
      <c r="B494" s="10"/>
      <c r="C494" s="9">
        <v>37.223433213210185</v>
      </c>
      <c r="D494" s="5">
        <f t="shared" si="10"/>
        <v>1</v>
      </c>
      <c r="Q494" s="4">
        <v>40909</v>
      </c>
      <c r="R494" s="12">
        <v>63.767487743503132</v>
      </c>
      <c r="S494" s="12">
        <v>78.153029737412979</v>
      </c>
      <c r="T494" s="16">
        <v>0.90947356061143081</v>
      </c>
      <c r="U494" s="12">
        <v>80.71267082432243</v>
      </c>
    </row>
    <row r="495" spans="1:21" x14ac:dyDescent="0.25">
      <c r="A495" s="4">
        <v>40940</v>
      </c>
      <c r="B495" s="10"/>
      <c r="C495" s="9">
        <v>14.581038294784529</v>
      </c>
      <c r="D495" s="5">
        <f t="shared" si="10"/>
        <v>2</v>
      </c>
      <c r="Q495" s="4">
        <v>40940</v>
      </c>
      <c r="R495" s="12">
        <v>20.894745965293584</v>
      </c>
      <c r="S495" s="12">
        <v>23.074102499416366</v>
      </c>
      <c r="T495" s="16">
        <v>0.51312657795906491</v>
      </c>
      <c r="U495" s="12">
        <v>22.377131775394179</v>
      </c>
    </row>
    <row r="496" spans="1:21" x14ac:dyDescent="0.25">
      <c r="A496" s="4">
        <v>40969</v>
      </c>
      <c r="B496" s="10"/>
      <c r="C496" s="9">
        <v>8.2731017975323251</v>
      </c>
      <c r="D496" s="5">
        <f t="shared" si="10"/>
        <v>3</v>
      </c>
      <c r="Q496" s="4">
        <v>40969</v>
      </c>
      <c r="R496" s="12">
        <v>9.3577326197577442</v>
      </c>
      <c r="S496" s="12">
        <v>5.2296054957754503</v>
      </c>
      <c r="T496" s="16">
        <v>0.20681110163114105</v>
      </c>
      <c r="U496" s="12">
        <v>4.4414131154111596</v>
      </c>
    </row>
    <row r="497" spans="1:21" x14ac:dyDescent="0.25">
      <c r="A497" s="4">
        <v>41000</v>
      </c>
      <c r="B497" s="10"/>
      <c r="C497" s="9">
        <v>22.760891860730958</v>
      </c>
      <c r="D497" s="5">
        <f t="shared" si="10"/>
        <v>4</v>
      </c>
      <c r="Q497" s="4">
        <v>41000</v>
      </c>
      <c r="R497" s="12">
        <v>18.292472153926514</v>
      </c>
      <c r="S497" s="12">
        <v>13.501464414790069</v>
      </c>
      <c r="T497" s="16">
        <v>0.53290048403437484</v>
      </c>
      <c r="U497" s="12">
        <v>15.258546653405809</v>
      </c>
    </row>
    <row r="498" spans="1:21" x14ac:dyDescent="0.25">
      <c r="A498" s="4">
        <v>41030</v>
      </c>
      <c r="B498" s="10"/>
      <c r="C498" s="9">
        <v>5.8557252664444599</v>
      </c>
      <c r="D498" s="5">
        <f t="shared" si="10"/>
        <v>5</v>
      </c>
      <c r="Q498" s="4">
        <v>41030</v>
      </c>
      <c r="R498" s="12">
        <v>2.593181064785544</v>
      </c>
      <c r="S498" s="12">
        <v>0.70532692681489195</v>
      </c>
      <c r="T498" s="16">
        <v>3.9167580402173829E-2</v>
      </c>
      <c r="U498" s="12">
        <v>0.4285313718294867</v>
      </c>
    </row>
    <row r="499" spans="1:21" x14ac:dyDescent="0.25">
      <c r="A499" s="4">
        <v>41061</v>
      </c>
      <c r="B499" s="10"/>
      <c r="C499" s="9">
        <v>19.791331663932194</v>
      </c>
      <c r="D499" s="5">
        <f t="shared" si="10"/>
        <v>6</v>
      </c>
      <c r="Q499" s="4">
        <v>41061</v>
      </c>
      <c r="R499" s="12">
        <v>7.1281020319061925</v>
      </c>
      <c r="S499" s="12">
        <v>3.3824989062841175</v>
      </c>
      <c r="T499" s="16">
        <v>0.42855305472185812</v>
      </c>
      <c r="U499" s="12">
        <v>3.3017691223203238</v>
      </c>
    </row>
    <row r="500" spans="1:21" x14ac:dyDescent="0.25">
      <c r="A500" s="4">
        <v>41091</v>
      </c>
      <c r="B500" s="10"/>
      <c r="C500" s="9">
        <v>86.065650188522767</v>
      </c>
      <c r="D500" s="5">
        <f t="shared" si="10"/>
        <v>7</v>
      </c>
      <c r="Q500" s="4">
        <v>41091</v>
      </c>
      <c r="R500" s="12">
        <v>17.492558817730306</v>
      </c>
      <c r="S500" s="12">
        <v>23.592548778353098</v>
      </c>
      <c r="T500" s="16">
        <v>0.90256619332935872</v>
      </c>
      <c r="U500" s="12">
        <v>23.126927475509834</v>
      </c>
    </row>
    <row r="501" spans="1:21" x14ac:dyDescent="0.25">
      <c r="A501" s="4">
        <v>41122</v>
      </c>
      <c r="B501" s="10"/>
      <c r="C501" s="9">
        <v>33.183909097821001</v>
      </c>
      <c r="D501" s="5">
        <f t="shared" si="10"/>
        <v>8</v>
      </c>
      <c r="Q501" s="4">
        <v>41122</v>
      </c>
      <c r="R501" s="12">
        <v>11.406155924722148</v>
      </c>
      <c r="S501" s="12">
        <v>9.8479463852976412</v>
      </c>
      <c r="T501" s="16">
        <v>0.71298992504795822</v>
      </c>
      <c r="U501" s="12">
        <v>10.973505999306786</v>
      </c>
    </row>
    <row r="502" spans="1:21" x14ac:dyDescent="0.25">
      <c r="A502" s="4">
        <v>41153</v>
      </c>
      <c r="B502" s="10"/>
      <c r="C502" s="9">
        <v>6.9497681481095306</v>
      </c>
      <c r="D502" s="5">
        <f t="shared" si="10"/>
        <v>9</v>
      </c>
      <c r="Q502" s="4">
        <v>41153</v>
      </c>
      <c r="R502" s="12">
        <v>2.8034788211218964</v>
      </c>
      <c r="S502" s="12">
        <v>0.73843723479564805</v>
      </c>
      <c r="T502" s="16">
        <v>0.19928610747373793</v>
      </c>
      <c r="U502" s="12">
        <v>0.20919461427804678</v>
      </c>
    </row>
    <row r="503" spans="1:21" x14ac:dyDescent="0.25">
      <c r="A503" s="4">
        <v>41183</v>
      </c>
      <c r="B503" s="10"/>
      <c r="C503" s="9">
        <v>22.369051158579556</v>
      </c>
      <c r="D503" s="5">
        <f t="shared" si="10"/>
        <v>10</v>
      </c>
      <c r="Q503" s="4">
        <v>41183</v>
      </c>
      <c r="R503" s="12">
        <v>27.773490015372019</v>
      </c>
      <c r="S503" s="12">
        <v>27.208794725951073</v>
      </c>
      <c r="T503" s="16">
        <v>0.61421005530593686</v>
      </c>
      <c r="U503" s="12">
        <v>27.311624400489549</v>
      </c>
    </row>
    <row r="504" spans="1:21" x14ac:dyDescent="0.25">
      <c r="A504" s="4">
        <v>41214</v>
      </c>
      <c r="B504" s="10"/>
      <c r="C504" s="9">
        <v>32.757522329871748</v>
      </c>
      <c r="D504" s="5">
        <f t="shared" si="10"/>
        <v>11</v>
      </c>
      <c r="Q504" s="4">
        <v>41214</v>
      </c>
      <c r="R504" s="12">
        <v>33.718284165767209</v>
      </c>
      <c r="S504" s="12">
        <v>33.067149383266262</v>
      </c>
      <c r="T504" s="16">
        <v>0.642709424463485</v>
      </c>
      <c r="U504" s="12">
        <v>33.136509522029307</v>
      </c>
    </row>
    <row r="505" spans="1:21" x14ac:dyDescent="0.25">
      <c r="A505" s="4">
        <v>41244</v>
      </c>
      <c r="B505" s="10"/>
      <c r="C505" s="9">
        <v>7.5112795649364283</v>
      </c>
      <c r="D505" s="5">
        <f t="shared" si="10"/>
        <v>12</v>
      </c>
      <c r="Q505" s="4">
        <v>41244</v>
      </c>
      <c r="R505" s="12">
        <v>13.688118533154139</v>
      </c>
      <c r="S505" s="12">
        <v>16.175482136139241</v>
      </c>
      <c r="T505" s="16">
        <v>0.46477136491080406</v>
      </c>
      <c r="U505" s="12">
        <v>17.439175911963947</v>
      </c>
    </row>
    <row r="506" spans="1:21" x14ac:dyDescent="0.25">
      <c r="A506" s="4">
        <v>41275</v>
      </c>
      <c r="B506" s="10"/>
      <c r="C506" s="9">
        <v>1.0437394517898735</v>
      </c>
      <c r="D506" s="5">
        <f t="shared" si="10"/>
        <v>1</v>
      </c>
      <c r="Q506" s="4">
        <v>41275</v>
      </c>
      <c r="R506" s="12">
        <v>1.7880307363964809</v>
      </c>
      <c r="S506" s="12">
        <v>0.11094328904056421</v>
      </c>
      <c r="T506" s="16">
        <v>5.3934619398308348E-2</v>
      </c>
      <c r="U506" s="12">
        <v>4.548085383275411E-2</v>
      </c>
    </row>
    <row r="507" spans="1:21" x14ac:dyDescent="0.25">
      <c r="A507" s="4">
        <v>41306</v>
      </c>
      <c r="B507" s="10"/>
      <c r="C507" s="9">
        <v>15.101280295832966</v>
      </c>
      <c r="D507" s="5">
        <f t="shared" si="10"/>
        <v>2</v>
      </c>
      <c r="Q507" s="4">
        <v>41306</v>
      </c>
      <c r="R507" s="12">
        <v>21.640256966130288</v>
      </c>
      <c r="S507" s="12">
        <v>23.788838209309816</v>
      </c>
      <c r="T507" s="16">
        <v>0.52542811014985225</v>
      </c>
      <c r="U507" s="12">
        <v>23.078874021695658</v>
      </c>
    </row>
    <row r="508" spans="1:21" x14ac:dyDescent="0.25">
      <c r="A508" s="4">
        <v>41334</v>
      </c>
      <c r="B508" s="10"/>
      <c r="C508" s="9">
        <v>10.053569918810192</v>
      </c>
      <c r="D508" s="5">
        <f t="shared" si="10"/>
        <v>3</v>
      </c>
      <c r="Q508" s="4">
        <v>41334</v>
      </c>
      <c r="R508" s="12">
        <v>11.371625960450144</v>
      </c>
      <c r="S508" s="12">
        <v>6.9348218432595345</v>
      </c>
      <c r="T508" s="16">
        <v>0.2670108250671514</v>
      </c>
      <c r="U508" s="12">
        <v>6.2280105844160252</v>
      </c>
    </row>
    <row r="509" spans="1:21" x14ac:dyDescent="0.25">
      <c r="A509" s="4">
        <v>41365</v>
      </c>
      <c r="B509" s="10"/>
      <c r="C509" s="9">
        <v>29.775291296031813</v>
      </c>
      <c r="D509" s="5">
        <f t="shared" si="10"/>
        <v>4</v>
      </c>
      <c r="Q509" s="4">
        <v>41365</v>
      </c>
      <c r="R509" s="12">
        <v>23.92980425549198</v>
      </c>
      <c r="S509" s="12">
        <v>20.824838416673803</v>
      </c>
      <c r="T509" s="16">
        <v>0.67189577632587882</v>
      </c>
      <c r="U509" s="12">
        <v>22.828847710988626</v>
      </c>
    </row>
    <row r="510" spans="1:21" x14ac:dyDescent="0.25">
      <c r="A510" s="4">
        <v>41395</v>
      </c>
      <c r="B510" s="10"/>
      <c r="C510" s="9">
        <v>13.815707965419112</v>
      </c>
      <c r="D510" s="5">
        <f t="shared" si="10"/>
        <v>5</v>
      </c>
      <c r="Q510" s="4">
        <v>41395</v>
      </c>
      <c r="R510" s="12">
        <v>6.118222878015116</v>
      </c>
      <c r="S510" s="12">
        <v>2.8410138464106391</v>
      </c>
      <c r="T510" s="16">
        <v>0.17967527156113414</v>
      </c>
      <c r="U510" s="12">
        <v>2.5443954924611902</v>
      </c>
    </row>
    <row r="511" spans="1:21" x14ac:dyDescent="0.25">
      <c r="A511" s="4">
        <v>41426</v>
      </c>
      <c r="B511" s="10"/>
      <c r="C511" s="9">
        <v>87.166875246989406</v>
      </c>
      <c r="D511" s="5">
        <f t="shared" si="10"/>
        <v>6</v>
      </c>
      <c r="Q511" s="4">
        <v>41426</v>
      </c>
      <c r="R511" s="12">
        <v>31.394268516822503</v>
      </c>
      <c r="S511" s="12">
        <v>47.089859219279347</v>
      </c>
      <c r="T511" s="16">
        <v>0.95528217359034051</v>
      </c>
      <c r="U511" s="12">
        <v>46.194608784292242</v>
      </c>
    </row>
    <row r="512" spans="1:21" x14ac:dyDescent="0.25">
      <c r="A512" s="4">
        <v>41456</v>
      </c>
      <c r="B512" s="10"/>
      <c r="C512" s="9">
        <v>3.1952248570881014</v>
      </c>
      <c r="D512" s="5">
        <f t="shared" si="10"/>
        <v>7</v>
      </c>
      <c r="Q512" s="4">
        <v>41456</v>
      </c>
      <c r="R512" s="12">
        <v>0.64941888693174665</v>
      </c>
      <c r="S512" s="12">
        <v>2.8524429915737948E-2</v>
      </c>
      <c r="T512" s="16">
        <v>4.220209515401206E-3</v>
      </c>
      <c r="U512" s="12">
        <v>8.7341517596255022E-3</v>
      </c>
    </row>
    <row r="513" spans="1:21" x14ac:dyDescent="0.25">
      <c r="A513" s="4">
        <v>41487</v>
      </c>
      <c r="B513" s="10"/>
      <c r="C513" s="9">
        <v>13.42372389567649</v>
      </c>
      <c r="D513" s="5">
        <f t="shared" si="10"/>
        <v>8</v>
      </c>
      <c r="Q513" s="4">
        <v>41487</v>
      </c>
      <c r="R513" s="12">
        <v>4.6140762799569854</v>
      </c>
      <c r="S513" s="12">
        <v>2.3848013580817931</v>
      </c>
      <c r="T513" s="16">
        <v>0.34939470473087025</v>
      </c>
      <c r="U513" s="12">
        <v>2.8657188545614289</v>
      </c>
    </row>
    <row r="514" spans="1:21" x14ac:dyDescent="0.25">
      <c r="A514" s="4">
        <v>41518</v>
      </c>
      <c r="B514" s="10"/>
      <c r="C514" s="9">
        <v>7.1475075519807119</v>
      </c>
      <c r="D514" s="5">
        <f t="shared" si="10"/>
        <v>9</v>
      </c>
      <c r="Q514" s="4">
        <v>41518</v>
      </c>
      <c r="R514" s="12">
        <v>2.8832452563525335</v>
      </c>
      <c r="S514" s="12">
        <v>0.77241230289271223</v>
      </c>
      <c r="T514" s="16">
        <v>0.20402106602727774</v>
      </c>
      <c r="U514" s="12">
        <v>0.22500372700649662</v>
      </c>
    </row>
    <row r="515" spans="1:21" x14ac:dyDescent="0.25">
      <c r="A515" s="4">
        <v>41548</v>
      </c>
      <c r="B515" s="10"/>
      <c r="C515" s="9">
        <v>74.236491958355558</v>
      </c>
      <c r="D515" s="5">
        <f t="shared" ref="D515:D578" si="11">MONTH(A515)</f>
        <v>10</v>
      </c>
      <c r="Q515" s="4">
        <v>41548</v>
      </c>
      <c r="R515" s="12">
        <v>92.17228095930372</v>
      </c>
      <c r="S515" s="12">
        <v>96.405482536886893</v>
      </c>
      <c r="T515" s="16">
        <v>0.97147599714718902</v>
      </c>
      <c r="U515" s="12">
        <v>96.150395098095927</v>
      </c>
    </row>
    <row r="516" spans="1:21" x14ac:dyDescent="0.25">
      <c r="A516" s="4">
        <v>41579</v>
      </c>
      <c r="B516" s="10"/>
      <c r="C516" s="9">
        <v>64.745118205561852</v>
      </c>
      <c r="D516" s="5">
        <f t="shared" si="11"/>
        <v>11</v>
      </c>
      <c r="Q516" s="4">
        <v>41579</v>
      </c>
      <c r="R516" s="12">
        <v>66.64406031742358</v>
      </c>
      <c r="S516" s="12">
        <v>67.010715571392865</v>
      </c>
      <c r="T516" s="16">
        <v>0.84553898510482495</v>
      </c>
      <c r="U516" s="12">
        <v>67.251165727814168</v>
      </c>
    </row>
    <row r="517" spans="1:21" x14ac:dyDescent="0.25">
      <c r="A517" s="4">
        <v>41609</v>
      </c>
      <c r="B517" s="10"/>
      <c r="C517" s="9">
        <v>27.157670327171694</v>
      </c>
      <c r="D517" s="5">
        <f t="shared" si="11"/>
        <v>12</v>
      </c>
      <c r="Q517" s="4">
        <v>41609</v>
      </c>
      <c r="R517" s="12">
        <v>49.490557142615856</v>
      </c>
      <c r="S517" s="12">
        <v>47.414805274072833</v>
      </c>
      <c r="T517" s="16">
        <v>0.83701604795071549</v>
      </c>
      <c r="U517" s="12">
        <v>46.542699163021574</v>
      </c>
    </row>
    <row r="518" spans="1:21" x14ac:dyDescent="0.25">
      <c r="A518" s="4">
        <v>41640</v>
      </c>
      <c r="B518" s="10"/>
      <c r="C518" s="9">
        <v>7.5092189647512821</v>
      </c>
      <c r="D518" s="5">
        <f t="shared" si="11"/>
        <v>1</v>
      </c>
      <c r="Q518" s="4">
        <v>41640</v>
      </c>
      <c r="R518" s="12">
        <v>12.864047911843935</v>
      </c>
      <c r="S518" s="12">
        <v>4.1441181944894847</v>
      </c>
      <c r="T518" s="16">
        <v>0.36376192280904945</v>
      </c>
      <c r="U518" s="12">
        <v>4.5524485119625648</v>
      </c>
    </row>
    <row r="519" spans="1:21" x14ac:dyDescent="0.25">
      <c r="A519" s="4">
        <v>41671</v>
      </c>
      <c r="B519" s="10"/>
      <c r="C519" s="9">
        <v>22.813595687404025</v>
      </c>
      <c r="D519" s="5">
        <f t="shared" si="11"/>
        <v>2</v>
      </c>
      <c r="Q519" s="4">
        <v>41671</v>
      </c>
      <c r="R519" s="12">
        <v>32.692067382727394</v>
      </c>
      <c r="S519" s="12">
        <v>34.063393895178564</v>
      </c>
      <c r="T519" s="16">
        <v>0.67518629295887389</v>
      </c>
      <c r="U519" s="12">
        <v>33.281425875066326</v>
      </c>
    </row>
    <row r="520" spans="1:21" x14ac:dyDescent="0.25">
      <c r="A520" s="4">
        <v>41699</v>
      </c>
      <c r="B520" s="10"/>
      <c r="C520" s="9">
        <v>71.428260405803158</v>
      </c>
      <c r="D520" s="5">
        <f t="shared" si="11"/>
        <v>3</v>
      </c>
      <c r="Q520" s="4">
        <v>41699</v>
      </c>
      <c r="R520" s="12">
        <v>80.792739981914025</v>
      </c>
      <c r="S520" s="12">
        <v>118.57212277982943</v>
      </c>
      <c r="T520" s="16">
        <v>0.98660510454225991</v>
      </c>
      <c r="U520" s="12">
        <v>114.03812717304911</v>
      </c>
    </row>
    <row r="521" spans="1:21" x14ac:dyDescent="0.25">
      <c r="A521" s="4">
        <v>41730</v>
      </c>
      <c r="B521" s="10"/>
      <c r="C521" s="9">
        <v>33.900629132237555</v>
      </c>
      <c r="D521" s="5">
        <f t="shared" si="11"/>
        <v>4</v>
      </c>
      <c r="Q521" s="4">
        <v>41730</v>
      </c>
      <c r="R521" s="12">
        <v>27.245255510920487</v>
      </c>
      <c r="S521" s="12">
        <v>25.673516313081997</v>
      </c>
      <c r="T521" s="16">
        <v>0.73644531660599499</v>
      </c>
      <c r="U521" s="12">
        <v>27.572791170244262</v>
      </c>
    </row>
    <row r="522" spans="1:21" x14ac:dyDescent="0.25">
      <c r="A522" s="4">
        <v>41760</v>
      </c>
      <c r="B522" s="10"/>
      <c r="C522" s="9">
        <v>34.521363038982223</v>
      </c>
      <c r="D522" s="5">
        <f t="shared" si="11"/>
        <v>5</v>
      </c>
      <c r="Q522" s="4">
        <v>41760</v>
      </c>
      <c r="R522" s="12">
        <v>15.287627217803546</v>
      </c>
      <c r="S522" s="12">
        <v>12.56052856855764</v>
      </c>
      <c r="T522" s="16">
        <v>0.59445253795205089</v>
      </c>
      <c r="U522" s="12">
        <v>13.294358513743644</v>
      </c>
    </row>
    <row r="523" spans="1:21" x14ac:dyDescent="0.25">
      <c r="A523" s="4">
        <v>41791</v>
      </c>
      <c r="B523" s="10"/>
      <c r="C523" s="9">
        <v>59.402657515894404</v>
      </c>
      <c r="D523" s="5">
        <f t="shared" si="11"/>
        <v>6</v>
      </c>
      <c r="Q523" s="4">
        <v>41791</v>
      </c>
      <c r="R523" s="12">
        <v>21.394629271527592</v>
      </c>
      <c r="S523" s="12">
        <v>23.828663677807974</v>
      </c>
      <c r="T523" s="16">
        <v>0.86734159413851208</v>
      </c>
      <c r="U523" s="12">
        <v>25.478650200355727</v>
      </c>
    </row>
    <row r="524" spans="1:21" x14ac:dyDescent="0.25">
      <c r="A524" s="4">
        <v>41821</v>
      </c>
      <c r="B524" s="10"/>
      <c r="C524" s="9">
        <v>30.683000526246399</v>
      </c>
      <c r="D524" s="5">
        <f t="shared" si="11"/>
        <v>7</v>
      </c>
      <c r="Q524" s="4">
        <v>41821</v>
      </c>
      <c r="R524" s="12">
        <v>6.2362184011175881</v>
      </c>
      <c r="S524" s="12">
        <v>2.8780031740652618</v>
      </c>
      <c r="T524" s="16">
        <v>0.36150063698298501</v>
      </c>
      <c r="U524" s="12">
        <v>3.3763931746381215</v>
      </c>
    </row>
    <row r="525" spans="1:21" x14ac:dyDescent="0.25">
      <c r="A525" s="4">
        <v>41852</v>
      </c>
      <c r="B525" s="10"/>
      <c r="C525" s="9">
        <v>86.613992636604735</v>
      </c>
      <c r="D525" s="5">
        <f t="shared" si="11"/>
        <v>8</v>
      </c>
      <c r="Q525" s="4">
        <v>41852</v>
      </c>
      <c r="R525" s="12">
        <v>29.771438390925486</v>
      </c>
      <c r="S525" s="12">
        <v>44.282112385918374</v>
      </c>
      <c r="T525" s="16">
        <v>0.9745705457355438</v>
      </c>
      <c r="U525" s="12">
        <v>38.864977984482984</v>
      </c>
    </row>
    <row r="526" spans="1:21" x14ac:dyDescent="0.25">
      <c r="A526" s="4">
        <v>41883</v>
      </c>
      <c r="B526" s="10"/>
      <c r="C526" s="9">
        <v>19.647747364455661</v>
      </c>
      <c r="D526" s="5">
        <f t="shared" si="11"/>
        <v>9</v>
      </c>
      <c r="Q526" s="4">
        <v>41883</v>
      </c>
      <c r="R526" s="12">
        <v>7.9257383045200385</v>
      </c>
      <c r="S526" s="12">
        <v>3.9081329085115581</v>
      </c>
      <c r="T526" s="16">
        <v>0.44701905861809788</v>
      </c>
      <c r="U526" s="12">
        <v>2.6504497807744469</v>
      </c>
    </row>
    <row r="527" spans="1:21" x14ac:dyDescent="0.25">
      <c r="A527" s="4">
        <v>41913</v>
      </c>
      <c r="B527" s="10"/>
      <c r="C527" s="9">
        <v>3.0343306894873803</v>
      </c>
      <c r="D527" s="5">
        <f t="shared" si="11"/>
        <v>10</v>
      </c>
      <c r="Q527" s="4">
        <v>41913</v>
      </c>
      <c r="R527" s="12">
        <v>3.7674353065034558</v>
      </c>
      <c r="S527" s="12">
        <v>3.3097244698650163</v>
      </c>
      <c r="T527" s="16">
        <v>8.9573888028785478E-2</v>
      </c>
      <c r="U527" s="12">
        <v>3.1680681282381706</v>
      </c>
    </row>
    <row r="528" spans="1:21" x14ac:dyDescent="0.25">
      <c r="A528" s="4">
        <v>41944</v>
      </c>
      <c r="B528" s="10"/>
      <c r="C528" s="9">
        <v>7.2818508891208591</v>
      </c>
      <c r="D528" s="5">
        <f t="shared" si="11"/>
        <v>11</v>
      </c>
      <c r="Q528" s="4">
        <v>41944</v>
      </c>
      <c r="R528" s="12">
        <v>7.4954239536065375</v>
      </c>
      <c r="S528" s="12">
        <v>6.9562825483487725</v>
      </c>
      <c r="T528" s="16">
        <v>0.25287672675383605</v>
      </c>
      <c r="U528" s="12">
        <v>6.8116318857483895</v>
      </c>
    </row>
    <row r="529" spans="1:21" x14ac:dyDescent="0.25">
      <c r="A529" s="4">
        <v>41974</v>
      </c>
      <c r="B529" s="10"/>
      <c r="C529" s="9">
        <v>4.4865651338160131</v>
      </c>
      <c r="D529" s="5">
        <f t="shared" si="11"/>
        <v>12</v>
      </c>
      <c r="Q529" s="4">
        <v>41974</v>
      </c>
      <c r="R529" s="12">
        <v>8.1760550685760442</v>
      </c>
      <c r="S529" s="12">
        <v>10.509748024142166</v>
      </c>
      <c r="T529" s="16">
        <v>0.33971301411646404</v>
      </c>
      <c r="U529" s="12">
        <v>12.03751614174281</v>
      </c>
    </row>
    <row r="530" spans="1:21" x14ac:dyDescent="0.25">
      <c r="A530" s="4">
        <v>42005</v>
      </c>
      <c r="B530" s="10"/>
      <c r="C530" s="9">
        <v>75.711933770483824</v>
      </c>
      <c r="D530" s="5">
        <f t="shared" si="11"/>
        <v>1</v>
      </c>
      <c r="Q530" s="4">
        <v>42005</v>
      </c>
      <c r="R530" s="12">
        <v>129.70216318017808</v>
      </c>
      <c r="S530" s="12">
        <v>287.51964484952765</v>
      </c>
      <c r="T530" s="16">
        <v>0.99313954554764439</v>
      </c>
      <c r="U530" s="12">
        <v>219.25535967151234</v>
      </c>
    </row>
    <row r="531" spans="1:21" x14ac:dyDescent="0.25">
      <c r="A531" s="4">
        <v>42036</v>
      </c>
      <c r="B531" s="10"/>
      <c r="C531" s="9">
        <v>2.5779161513675546</v>
      </c>
      <c r="D531" s="5">
        <f t="shared" si="11"/>
        <v>2</v>
      </c>
      <c r="Q531" s="4">
        <v>42036</v>
      </c>
      <c r="R531" s="12">
        <v>3.694174722928973</v>
      </c>
      <c r="S531" s="12">
        <v>5.1087501229924586</v>
      </c>
      <c r="T531" s="16">
        <v>0.12028514671253766</v>
      </c>
      <c r="U531" s="12">
        <v>5.0490676443183826</v>
      </c>
    </row>
    <row r="532" spans="1:21" x14ac:dyDescent="0.25">
      <c r="A532" s="4">
        <v>42064</v>
      </c>
      <c r="B532" s="10"/>
      <c r="C532" s="9">
        <v>45.987875081703571</v>
      </c>
      <c r="D532" s="5">
        <f t="shared" si="11"/>
        <v>3</v>
      </c>
      <c r="Q532" s="4">
        <v>42064</v>
      </c>
      <c r="R532" s="12">
        <v>52.017036571913444</v>
      </c>
      <c r="S532" s="12">
        <v>62.676974328504237</v>
      </c>
      <c r="T532" s="16">
        <v>0.91853588793257934</v>
      </c>
      <c r="U532" s="12">
        <v>63.893102943658377</v>
      </c>
    </row>
    <row r="533" spans="1:21" x14ac:dyDescent="0.25">
      <c r="A533" s="4">
        <v>42095</v>
      </c>
      <c r="B533" s="10"/>
      <c r="C533" s="9">
        <v>112.65915042851758</v>
      </c>
      <c r="D533" s="5">
        <f t="shared" si="11"/>
        <v>4</v>
      </c>
      <c r="Q533" s="4">
        <v>42095</v>
      </c>
      <c r="R533" s="12">
        <v>90.541899004149727</v>
      </c>
      <c r="S533" s="12">
        <v>178.17096447325599</v>
      </c>
      <c r="T533" s="16">
        <v>0.99791493859111768</v>
      </c>
      <c r="U533" s="12">
        <v>135.14733113326898</v>
      </c>
    </row>
    <row r="534" spans="1:21" x14ac:dyDescent="0.25">
      <c r="A534" s="4">
        <v>42125</v>
      </c>
      <c r="B534" s="10"/>
      <c r="C534" s="9">
        <v>7.1539123347227074</v>
      </c>
      <c r="D534" s="5">
        <f t="shared" si="11"/>
        <v>5</v>
      </c>
      <c r="Q534" s="4">
        <v>42125</v>
      </c>
      <c r="R534" s="12">
        <v>3.1680772511383366</v>
      </c>
      <c r="S534" s="12">
        <v>0.97620446112699566</v>
      </c>
      <c r="T534" s="16">
        <v>5.7111758343373356E-2</v>
      </c>
      <c r="U534" s="12">
        <v>0.66021720680432061</v>
      </c>
    </row>
    <row r="535" spans="1:21" x14ac:dyDescent="0.25">
      <c r="A535" s="4">
        <v>42156</v>
      </c>
      <c r="B535" s="10"/>
      <c r="C535" s="9">
        <v>44.791878972787899</v>
      </c>
      <c r="D535" s="5">
        <f t="shared" si="11"/>
        <v>6</v>
      </c>
      <c r="Q535" s="4">
        <v>42156</v>
      </c>
      <c r="R535" s="12">
        <v>16.132369915294021</v>
      </c>
      <c r="S535" s="12">
        <v>14.431747871843394</v>
      </c>
      <c r="T535" s="16">
        <v>0.76844822592379214</v>
      </c>
      <c r="U535" s="12">
        <v>15.860361307282119</v>
      </c>
    </row>
    <row r="536" spans="1:21" x14ac:dyDescent="0.25">
      <c r="A536" s="4">
        <v>42186</v>
      </c>
      <c r="B536" s="10"/>
      <c r="C536" s="9">
        <v>61.627825030744596</v>
      </c>
      <c r="D536" s="5">
        <f t="shared" si="11"/>
        <v>7</v>
      </c>
      <c r="Q536" s="4">
        <v>42186</v>
      </c>
      <c r="R536" s="12">
        <v>12.52565166007253</v>
      </c>
      <c r="S536" s="12">
        <v>11.937087193362071</v>
      </c>
      <c r="T536" s="16">
        <v>0.75699245248585945</v>
      </c>
      <c r="U536" s="12">
        <v>13.133167470950625</v>
      </c>
    </row>
    <row r="537" spans="1:21" x14ac:dyDescent="0.25">
      <c r="A537" s="4">
        <v>42217</v>
      </c>
      <c r="B537" s="10"/>
      <c r="C537" s="9">
        <v>40.927724409910759</v>
      </c>
      <c r="D537" s="5">
        <f t="shared" si="11"/>
        <v>8</v>
      </c>
      <c r="Q537" s="4">
        <v>42217</v>
      </c>
      <c r="R537" s="12">
        <v>14.067902756343821</v>
      </c>
      <c r="S537" s="12">
        <v>13.679759471821024</v>
      </c>
      <c r="T537" s="16">
        <v>0.79552372866201537</v>
      </c>
      <c r="U537" s="12">
        <v>14.661843977847237</v>
      </c>
    </row>
    <row r="538" spans="1:21" x14ac:dyDescent="0.25">
      <c r="A538" s="4">
        <v>42248</v>
      </c>
      <c r="B538" s="10"/>
      <c r="C538" s="9">
        <v>11.592842725468563</v>
      </c>
      <c r="D538" s="5">
        <f t="shared" si="11"/>
        <v>9</v>
      </c>
      <c r="Q538" s="4">
        <v>42248</v>
      </c>
      <c r="R538" s="12">
        <v>4.6764565903236432</v>
      </c>
      <c r="S538" s="12">
        <v>1.6772869594680624</v>
      </c>
      <c r="T538" s="16">
        <v>0.30209740259403617</v>
      </c>
      <c r="U538" s="12">
        <v>0.76411733216971034</v>
      </c>
    </row>
    <row r="539" spans="1:21" x14ac:dyDescent="0.25">
      <c r="A539" s="4">
        <v>42278</v>
      </c>
      <c r="B539" s="10"/>
      <c r="C539" s="9">
        <v>2.3920159749916903</v>
      </c>
      <c r="D539" s="5">
        <f t="shared" si="11"/>
        <v>10</v>
      </c>
      <c r="Q539" s="4">
        <v>42278</v>
      </c>
      <c r="R539" s="12">
        <v>2.9699351719065361</v>
      </c>
      <c r="S539" s="12">
        <v>2.5754749681454778</v>
      </c>
      <c r="T539" s="16">
        <v>6.8221157318640466E-2</v>
      </c>
      <c r="U539" s="12">
        <v>2.4423118742666987</v>
      </c>
    </row>
    <row r="540" spans="1:21" x14ac:dyDescent="0.25">
      <c r="A540" s="4">
        <v>42309</v>
      </c>
      <c r="B540" s="10"/>
      <c r="C540" s="9">
        <v>44.980019605512595</v>
      </c>
      <c r="D540" s="5">
        <f t="shared" si="11"/>
        <v>11</v>
      </c>
      <c r="Q540" s="4">
        <v>42309</v>
      </c>
      <c r="R540" s="12">
        <v>46.299261206865275</v>
      </c>
      <c r="S540" s="12">
        <v>45.936256089180176</v>
      </c>
      <c r="T540" s="16">
        <v>0.74213236397329485</v>
      </c>
      <c r="U540" s="12">
        <v>46.09973338129091</v>
      </c>
    </row>
    <row r="541" spans="1:21" x14ac:dyDescent="0.25">
      <c r="A541" s="4">
        <v>42339</v>
      </c>
      <c r="B541" s="10"/>
      <c r="C541" s="9">
        <v>6.4732082831806155</v>
      </c>
      <c r="D541" s="5">
        <f t="shared" si="11"/>
        <v>12</v>
      </c>
      <c r="Q541" s="4">
        <v>42339</v>
      </c>
      <c r="R541" s="12">
        <v>11.796397871222275</v>
      </c>
      <c r="S541" s="12">
        <v>14.282618065024554</v>
      </c>
      <c r="T541" s="16">
        <v>0.42586607387441833</v>
      </c>
      <c r="U541" s="12">
        <v>15.651305874499204</v>
      </c>
    </row>
    <row r="542" spans="1:21" x14ac:dyDescent="0.25">
      <c r="A542" s="4">
        <v>42370</v>
      </c>
      <c r="B542" s="10"/>
      <c r="C542" s="9">
        <v>4.8440347696848534</v>
      </c>
      <c r="D542" s="5">
        <f t="shared" si="11"/>
        <v>1</v>
      </c>
      <c r="Q542" s="4">
        <v>42370</v>
      </c>
      <c r="R542" s="12">
        <v>8.2983191269783134</v>
      </c>
      <c r="S542" s="12">
        <v>1.8540897631507567</v>
      </c>
      <c r="T542" s="16">
        <v>0.24765564280705404</v>
      </c>
      <c r="U542" s="12">
        <v>1.764234793328868</v>
      </c>
    </row>
    <row r="543" spans="1:21" x14ac:dyDescent="0.25">
      <c r="A543" s="4">
        <v>42401</v>
      </c>
      <c r="B543" s="10"/>
      <c r="C543" s="9">
        <v>31.448366771393228</v>
      </c>
      <c r="D543" s="5">
        <f t="shared" si="11"/>
        <v>2</v>
      </c>
      <c r="Q543" s="4">
        <v>42401</v>
      </c>
      <c r="R543" s="12">
        <v>45.065764277340982</v>
      </c>
      <c r="S543" s="12">
        <v>45.039294016323986</v>
      </c>
      <c r="T543" s="16">
        <v>0.78747502191906382</v>
      </c>
      <c r="U543" s="12">
        <v>44.406128741056449</v>
      </c>
    </row>
    <row r="544" spans="1:21" x14ac:dyDescent="0.25">
      <c r="A544" s="4">
        <v>42430</v>
      </c>
      <c r="B544" s="10"/>
      <c r="C544" s="9">
        <v>3.9930822884058239</v>
      </c>
      <c r="D544" s="5">
        <f t="shared" si="11"/>
        <v>3</v>
      </c>
      <c r="Q544" s="4">
        <v>42430</v>
      </c>
      <c r="R544" s="12">
        <v>4.5165884934158012</v>
      </c>
      <c r="S544" s="12">
        <v>1.8214424217689471</v>
      </c>
      <c r="T544" s="16">
        <v>7.1416837324436863E-2</v>
      </c>
      <c r="U544" s="12">
        <v>1.1716993651775467</v>
      </c>
    </row>
    <row r="545" spans="1:21" x14ac:dyDescent="0.25">
      <c r="A545" s="4">
        <v>42461</v>
      </c>
      <c r="B545" s="10"/>
      <c r="C545" s="9">
        <v>14.854665021380784</v>
      </c>
      <c r="D545" s="5">
        <f t="shared" si="11"/>
        <v>4</v>
      </c>
      <c r="Q545" s="4">
        <v>42461</v>
      </c>
      <c r="R545" s="12">
        <v>11.938396259784687</v>
      </c>
      <c r="S545" s="12">
        <v>6.78300098678237</v>
      </c>
      <c r="T545" s="16">
        <v>0.33260090315034602</v>
      </c>
      <c r="U545" s="12">
        <v>7.7774193078782794</v>
      </c>
    </row>
    <row r="546" spans="1:21" x14ac:dyDescent="0.25">
      <c r="A546" s="4">
        <v>42491</v>
      </c>
      <c r="B546" s="10"/>
      <c r="C546" s="9">
        <v>8.5489538380841292</v>
      </c>
      <c r="D546" s="5">
        <f t="shared" si="11"/>
        <v>5</v>
      </c>
      <c r="Q546" s="4">
        <v>42491</v>
      </c>
      <c r="R546" s="12">
        <v>3.7858649796434629</v>
      </c>
      <c r="S546" s="12">
        <v>1.3035260382828411</v>
      </c>
      <c r="T546" s="16">
        <v>7.912369088755869E-2</v>
      </c>
      <c r="U546" s="12">
        <v>0.96223115272939441</v>
      </c>
    </row>
    <row r="547" spans="1:21" x14ac:dyDescent="0.25">
      <c r="A547" s="4">
        <v>42522</v>
      </c>
      <c r="B547" s="10"/>
      <c r="C547" s="9">
        <v>56.478870291916309</v>
      </c>
      <c r="D547" s="5">
        <f t="shared" si="11"/>
        <v>6</v>
      </c>
      <c r="Q547" s="4">
        <v>42522</v>
      </c>
      <c r="R547" s="12">
        <v>20.34158978909193</v>
      </c>
      <c r="S547" s="12">
        <v>21.785341431284664</v>
      </c>
      <c r="T547" s="16">
        <v>0.85153937717261463</v>
      </c>
      <c r="U547" s="12">
        <v>23.463946002794756</v>
      </c>
    </row>
    <row r="548" spans="1:21" x14ac:dyDescent="0.25">
      <c r="A548" s="4">
        <v>42552</v>
      </c>
      <c r="B548" s="10"/>
      <c r="C548" s="9">
        <v>91.483925776092832</v>
      </c>
      <c r="D548" s="5">
        <f t="shared" si="11"/>
        <v>7</v>
      </c>
      <c r="Q548" s="4">
        <v>42552</v>
      </c>
      <c r="R548" s="12">
        <v>18.593805414934089</v>
      </c>
      <c r="S548" s="12">
        <v>26.721421107883337</v>
      </c>
      <c r="T548" s="16">
        <v>0.92131998065264187</v>
      </c>
      <c r="U548" s="12">
        <v>25.515020677710034</v>
      </c>
    </row>
    <row r="549" spans="1:21" x14ac:dyDescent="0.25">
      <c r="A549" s="4">
        <v>42583</v>
      </c>
      <c r="B549" s="10"/>
      <c r="C549" s="9">
        <v>15.974116834415058</v>
      </c>
      <c r="D549" s="5">
        <f t="shared" si="11"/>
        <v>8</v>
      </c>
      <c r="Q549" s="4">
        <v>42583</v>
      </c>
      <c r="R549" s="12">
        <v>5.4907113817109447</v>
      </c>
      <c r="S549" s="12">
        <v>3.1320233989335029</v>
      </c>
      <c r="T549" s="16">
        <v>0.41109767601016822</v>
      </c>
      <c r="U549" s="12">
        <v>3.7525689642011519</v>
      </c>
    </row>
    <row r="550" spans="1:21" x14ac:dyDescent="0.25">
      <c r="A550" s="4">
        <v>42614</v>
      </c>
      <c r="B550" s="10"/>
      <c r="C550" s="9">
        <v>19.387293112995863</v>
      </c>
      <c r="D550" s="5">
        <f t="shared" si="11"/>
        <v>9</v>
      </c>
      <c r="Q550" s="4">
        <v>42614</v>
      </c>
      <c r="R550" s="12">
        <v>7.8206732200053386</v>
      </c>
      <c r="S550" s="12">
        <v>3.8254014761485946</v>
      </c>
      <c r="T550" s="16">
        <v>0.44288225782510732</v>
      </c>
      <c r="U550" s="12">
        <v>2.5718954890904735</v>
      </c>
    </row>
    <row r="551" spans="1:21" x14ac:dyDescent="0.25">
      <c r="A551" s="4">
        <v>42644</v>
      </c>
      <c r="B551" s="10"/>
      <c r="C551" s="9">
        <v>20.069005128938624</v>
      </c>
      <c r="D551" s="5">
        <f t="shared" si="11"/>
        <v>10</v>
      </c>
      <c r="Q551" s="4">
        <v>42644</v>
      </c>
      <c r="R551" s="12">
        <v>24.917745040483918</v>
      </c>
      <c r="S551" s="12">
        <v>24.267037768446226</v>
      </c>
      <c r="T551" s="16">
        <v>0.56957451022521222</v>
      </c>
      <c r="U551" s="12">
        <v>24.338973311374975</v>
      </c>
    </row>
    <row r="552" spans="1:21" x14ac:dyDescent="0.25">
      <c r="A552" s="4">
        <v>42675</v>
      </c>
      <c r="B552" s="10"/>
      <c r="C552" s="9">
        <v>48.04760102087414</v>
      </c>
      <c r="D552" s="5">
        <f t="shared" si="11"/>
        <v>11</v>
      </c>
      <c r="Q552" s="4">
        <v>42675</v>
      </c>
      <c r="R552" s="12">
        <v>49.45681325928242</v>
      </c>
      <c r="S552" s="12">
        <v>49.187917236589904</v>
      </c>
      <c r="T552" s="16">
        <v>0.76208693263020078</v>
      </c>
      <c r="U552" s="12">
        <v>49.369706797177038</v>
      </c>
    </row>
    <row r="553" spans="1:21" x14ac:dyDescent="0.25">
      <c r="A553" s="4">
        <v>42705</v>
      </c>
      <c r="B553" s="10"/>
      <c r="C553" s="9">
        <v>2.1565715519911479</v>
      </c>
      <c r="D553" s="5">
        <f t="shared" si="11"/>
        <v>12</v>
      </c>
      <c r="Q553" s="4">
        <v>42705</v>
      </c>
      <c r="R553" s="12">
        <v>3.9300104294723921</v>
      </c>
      <c r="S553" s="12">
        <v>5.6935054969567958</v>
      </c>
      <c r="T553" s="16">
        <v>0.20952079341145391</v>
      </c>
      <c r="U553" s="12">
        <v>7.2312802426669194</v>
      </c>
    </row>
    <row r="554" spans="1:21" x14ac:dyDescent="0.25">
      <c r="A554" s="4">
        <v>42736</v>
      </c>
      <c r="B554" s="10"/>
      <c r="C554" s="9">
        <v>2.7906564985353985</v>
      </c>
      <c r="D554" s="5">
        <f t="shared" si="11"/>
        <v>1</v>
      </c>
      <c r="Q554" s="4">
        <v>42736</v>
      </c>
      <c r="R554" s="12">
        <v>4.7806754698685285</v>
      </c>
      <c r="S554" s="12">
        <v>0.67409604796851408</v>
      </c>
      <c r="T554" s="16">
        <v>0.14653982804357613</v>
      </c>
      <c r="U554" s="12">
        <v>0.49710080792556549</v>
      </c>
    </row>
    <row r="555" spans="1:21" x14ac:dyDescent="0.25">
      <c r="A555" s="4">
        <v>42767</v>
      </c>
      <c r="B555" s="10"/>
      <c r="C555" s="9">
        <v>23.398941920318965</v>
      </c>
      <c r="D555" s="5">
        <f t="shared" si="11"/>
        <v>2</v>
      </c>
      <c r="Q555" s="4">
        <v>42767</v>
      </c>
      <c r="R555" s="12">
        <v>33.530873275094748</v>
      </c>
      <c r="S555" s="12">
        <v>34.822648509391279</v>
      </c>
      <c r="T555" s="16">
        <v>0.6843963015494493</v>
      </c>
      <c r="U555" s="12">
        <v>34.043678307696844</v>
      </c>
    </row>
    <row r="556" spans="1:21" x14ac:dyDescent="0.25">
      <c r="A556" s="4">
        <v>42795</v>
      </c>
      <c r="B556" s="10"/>
      <c r="C556" s="9">
        <v>1.1524895353595446</v>
      </c>
      <c r="D556" s="5">
        <f t="shared" si="11"/>
        <v>3</v>
      </c>
      <c r="Q556" s="4">
        <v>42795</v>
      </c>
      <c r="R556" s="12">
        <v>1.3035846992938342</v>
      </c>
      <c r="S556" s="12">
        <v>0.30132334807361161</v>
      </c>
      <c r="T556" s="16">
        <v>9.3808413122179017E-3</v>
      </c>
      <c r="U556" s="12">
        <v>0.10123596460533928</v>
      </c>
    </row>
    <row r="557" spans="1:21" x14ac:dyDescent="0.25">
      <c r="A557" s="4">
        <v>42826</v>
      </c>
      <c r="B557" s="10"/>
      <c r="C557" s="9">
        <v>15.306977139414897</v>
      </c>
      <c r="D557" s="5">
        <f t="shared" si="11"/>
        <v>4</v>
      </c>
      <c r="Q557" s="4">
        <v>42826</v>
      </c>
      <c r="R557" s="12">
        <v>12.301910434653088</v>
      </c>
      <c r="S557" s="12">
        <v>7.1192734013341168</v>
      </c>
      <c r="T557" s="16">
        <v>0.34505911573003045</v>
      </c>
      <c r="U557" s="12">
        <v>8.1657840361974561</v>
      </c>
    </row>
    <row r="558" spans="1:21" x14ac:dyDescent="0.25">
      <c r="A558" s="4">
        <v>42856</v>
      </c>
      <c r="B558" s="10"/>
      <c r="C558" s="9">
        <v>4.3667832081788429</v>
      </c>
      <c r="D558" s="5">
        <f t="shared" si="11"/>
        <v>5</v>
      </c>
      <c r="Q558" s="4">
        <v>42856</v>
      </c>
      <c r="R558" s="12">
        <v>1.9338099064112317</v>
      </c>
      <c r="S558" s="12">
        <v>0.43810216973973759</v>
      </c>
      <c r="T558" s="16">
        <v>2.2165437468669238E-2</v>
      </c>
      <c r="U558" s="12">
        <v>0.22417356646053233</v>
      </c>
    </row>
    <row r="559" spans="1:21" x14ac:dyDescent="0.25">
      <c r="A559" s="4">
        <v>42887</v>
      </c>
      <c r="B559" s="10"/>
      <c r="C559" s="9">
        <v>88.808501865936222</v>
      </c>
      <c r="D559" s="5">
        <f t="shared" si="11"/>
        <v>6</v>
      </c>
      <c r="Q559" s="4">
        <v>42887</v>
      </c>
      <c r="R559" s="12">
        <v>31.985521406564697</v>
      </c>
      <c r="S559" s="12">
        <v>48.676631394716651</v>
      </c>
      <c r="T559" s="16">
        <v>0.95810160397636368</v>
      </c>
      <c r="U559" s="12">
        <v>47.489784867377274</v>
      </c>
    </row>
    <row r="560" spans="1:21" x14ac:dyDescent="0.25">
      <c r="A560" s="4">
        <v>42917</v>
      </c>
      <c r="B560" s="10"/>
      <c r="C560" s="9">
        <v>43.951279395094538</v>
      </c>
      <c r="D560" s="5">
        <f t="shared" si="11"/>
        <v>7</v>
      </c>
      <c r="Q560" s="4">
        <v>42917</v>
      </c>
      <c r="R560" s="12">
        <v>8.9329522085654904</v>
      </c>
      <c r="S560" s="12">
        <v>5.9902858719720626</v>
      </c>
      <c r="T560" s="16">
        <v>0.56237804521798773</v>
      </c>
      <c r="U560" s="12">
        <v>7.0187879552651387</v>
      </c>
    </row>
    <row r="561" spans="1:21" x14ac:dyDescent="0.25">
      <c r="A561" s="4">
        <v>42948</v>
      </c>
      <c r="B561" s="10"/>
      <c r="C561" s="9">
        <v>13.249398799265137</v>
      </c>
      <c r="D561" s="5">
        <f t="shared" si="11"/>
        <v>8</v>
      </c>
      <c r="Q561" s="4">
        <v>42948</v>
      </c>
      <c r="R561" s="12">
        <v>4.554156298094731</v>
      </c>
      <c r="S561" s="12">
        <v>2.3364523931555028</v>
      </c>
      <c r="T561" s="16">
        <v>0.34501460586170701</v>
      </c>
      <c r="U561" s="12">
        <v>2.8076401874436892</v>
      </c>
    </row>
    <row r="562" spans="1:21" x14ac:dyDescent="0.25">
      <c r="A562" s="4">
        <v>42979</v>
      </c>
      <c r="B562" s="10"/>
      <c r="C562" s="9">
        <v>50.783946326819553</v>
      </c>
      <c r="D562" s="5">
        <f t="shared" si="11"/>
        <v>9</v>
      </c>
      <c r="Q562" s="4">
        <v>42979</v>
      </c>
      <c r="R562" s="12">
        <v>20.485822684452799</v>
      </c>
      <c r="S562" s="12">
        <v>17.914677005389713</v>
      </c>
      <c r="T562" s="16">
        <v>0.76929267709799865</v>
      </c>
      <c r="U562" s="12">
        <v>18.285906435115397</v>
      </c>
    </row>
    <row r="563" spans="1:21" x14ac:dyDescent="0.25">
      <c r="A563" s="4">
        <v>43009</v>
      </c>
      <c r="B563" s="10"/>
      <c r="C563" s="9">
        <v>37.7893365998954</v>
      </c>
      <c r="D563" s="5">
        <f t="shared" si="11"/>
        <v>10</v>
      </c>
      <c r="Q563" s="4">
        <v>43009</v>
      </c>
      <c r="R563" s="12">
        <v>46.919368877306177</v>
      </c>
      <c r="S563" s="12">
        <v>47.299311687398315</v>
      </c>
      <c r="T563" s="16">
        <v>0.81850938584533306</v>
      </c>
      <c r="U563" s="12">
        <v>47.509016297464619</v>
      </c>
    </row>
    <row r="564" spans="1:21" x14ac:dyDescent="0.25">
      <c r="A564" s="4">
        <v>43040</v>
      </c>
      <c r="B564" s="10"/>
      <c r="C564" s="9">
        <v>53.955148977223907</v>
      </c>
      <c r="D564" s="5">
        <f t="shared" si="11"/>
        <v>11</v>
      </c>
      <c r="Q564" s="4">
        <v>43040</v>
      </c>
      <c r="R564" s="12">
        <v>55.537626658696766</v>
      </c>
      <c r="S564" s="12">
        <v>55.471069303238195</v>
      </c>
      <c r="T564" s="16">
        <v>0.79603585461692394</v>
      </c>
      <c r="U564" s="12">
        <v>55.681618071162418</v>
      </c>
    </row>
    <row r="565" spans="1:21" x14ac:dyDescent="0.25">
      <c r="A565" s="4">
        <v>43070</v>
      </c>
      <c r="B565" s="10"/>
      <c r="C565" s="9">
        <v>1.2733278174057379</v>
      </c>
      <c r="D565" s="5">
        <f t="shared" si="11"/>
        <v>12</v>
      </c>
      <c r="Q565" s="4">
        <v>43070</v>
      </c>
      <c r="R565" s="12">
        <v>2.3204384746342086</v>
      </c>
      <c r="S565" s="12">
        <v>3.6636268147730076</v>
      </c>
      <c r="T565" s="16">
        <v>0.14567239187161921</v>
      </c>
      <c r="U565" s="12">
        <v>5.0626643304805219</v>
      </c>
    </row>
    <row r="566" spans="1:21" x14ac:dyDescent="0.25">
      <c r="A566" s="4">
        <v>43101</v>
      </c>
      <c r="B566" s="10"/>
      <c r="C566" s="9">
        <v>32.197219393773842</v>
      </c>
      <c r="D566" s="5">
        <f t="shared" si="11"/>
        <v>1</v>
      </c>
      <c r="Q566" s="4">
        <v>43101</v>
      </c>
      <c r="R566" s="12">
        <v>55.157077567437263</v>
      </c>
      <c r="S566" s="12">
        <v>59.891354964835365</v>
      </c>
      <c r="T566" s="16">
        <v>0.87353614495084897</v>
      </c>
      <c r="U566" s="12">
        <v>64.63159907204475</v>
      </c>
    </row>
    <row r="567" spans="1:21" x14ac:dyDescent="0.25">
      <c r="A567" s="4">
        <v>43132</v>
      </c>
      <c r="B567" s="10"/>
      <c r="C567" s="9">
        <v>44.482773983929647</v>
      </c>
      <c r="D567" s="5">
        <f t="shared" si="11"/>
        <v>2</v>
      </c>
      <c r="Q567" s="4">
        <v>43132</v>
      </c>
      <c r="R567" s="12">
        <v>63.744175375922055</v>
      </c>
      <c r="S567" s="12">
        <v>60.902030896209432</v>
      </c>
      <c r="T567" s="16">
        <v>0.88793249128958363</v>
      </c>
      <c r="U567" s="12">
        <v>60.856523219563734</v>
      </c>
    </row>
    <row r="568" spans="1:21" x14ac:dyDescent="0.25">
      <c r="A568" s="4">
        <v>43160</v>
      </c>
      <c r="B568" s="10"/>
      <c r="C568" s="9">
        <v>34.685659439251999</v>
      </c>
      <c r="D568" s="5">
        <f t="shared" si="11"/>
        <v>3</v>
      </c>
      <c r="Q568" s="4">
        <v>43160</v>
      </c>
      <c r="R568" s="12">
        <v>39.233063331737434</v>
      </c>
      <c r="S568" s="12">
        <v>41.663094143088415</v>
      </c>
      <c r="T568" s="16">
        <v>0.82582509817750505</v>
      </c>
      <c r="U568" s="12">
        <v>43.201755331116196</v>
      </c>
    </row>
    <row r="569" spans="1:21" x14ac:dyDescent="0.25">
      <c r="A569" s="4">
        <v>43191</v>
      </c>
      <c r="B569" s="10"/>
      <c r="C569" s="9">
        <v>47.870097774686009</v>
      </c>
      <c r="D569" s="5">
        <f t="shared" si="11"/>
        <v>4</v>
      </c>
      <c r="Q569" s="4">
        <v>43191</v>
      </c>
      <c r="R569" s="12">
        <v>38.472237199982104</v>
      </c>
      <c r="S569" s="12">
        <v>44.794656543274897</v>
      </c>
      <c r="T569" s="16">
        <v>0.87982706842977354</v>
      </c>
      <c r="U569" s="12">
        <v>44.761367620579279</v>
      </c>
    </row>
    <row r="570" spans="1:21" x14ac:dyDescent="0.25">
      <c r="A570" s="4">
        <v>43221</v>
      </c>
      <c r="B570" s="10"/>
      <c r="C570" s="9">
        <v>10.940316369855115</v>
      </c>
      <c r="D570" s="5">
        <f t="shared" si="11"/>
        <v>5</v>
      </c>
      <c r="Q570" s="4">
        <v>43221</v>
      </c>
      <c r="R570" s="12">
        <v>4.8448689038817783</v>
      </c>
      <c r="S570" s="12">
        <v>1.9452801682748524</v>
      </c>
      <c r="T570" s="16">
        <v>0.12204746363846486</v>
      </c>
      <c r="U570" s="12">
        <v>1.5990351169220172</v>
      </c>
    </row>
    <row r="571" spans="1:21" x14ac:dyDescent="0.25">
      <c r="A571" s="4">
        <v>43252</v>
      </c>
      <c r="B571" s="10"/>
      <c r="C571" s="9">
        <v>41.267148895735112</v>
      </c>
      <c r="D571" s="5">
        <f t="shared" si="11"/>
        <v>6</v>
      </c>
      <c r="Q571" s="4">
        <v>43252</v>
      </c>
      <c r="R571" s="12">
        <v>14.862893153912264</v>
      </c>
      <c r="S571" s="12">
        <v>12.476518381205423</v>
      </c>
      <c r="T571" s="16">
        <v>0.73576907451289864</v>
      </c>
      <c r="U571" s="12">
        <v>13.735019556236949</v>
      </c>
    </row>
    <row r="572" spans="1:21" x14ac:dyDescent="0.25">
      <c r="A572" s="4">
        <v>43282</v>
      </c>
      <c r="B572" s="10"/>
      <c r="C572" s="9">
        <v>44.584887680061058</v>
      </c>
      <c r="D572" s="5">
        <f t="shared" si="11"/>
        <v>7</v>
      </c>
      <c r="Q572" s="4">
        <v>43282</v>
      </c>
      <c r="R572" s="12">
        <v>9.0617309974074995</v>
      </c>
      <c r="S572" s="12">
        <v>6.1677554944977766</v>
      </c>
      <c r="T572" s="16">
        <v>0.57088500751317584</v>
      </c>
      <c r="U572" s="12">
        <v>7.2160130480395583</v>
      </c>
    </row>
    <row r="573" spans="1:21" x14ac:dyDescent="0.25">
      <c r="A573" s="4">
        <v>43313</v>
      </c>
      <c r="B573" s="10"/>
      <c r="C573" s="9">
        <v>1.9932475749292282</v>
      </c>
      <c r="D573" s="5">
        <f t="shared" si="11"/>
        <v>8</v>
      </c>
      <c r="Q573" s="4">
        <v>43313</v>
      </c>
      <c r="R573" s="12">
        <v>0.68513003001535966</v>
      </c>
      <c r="S573" s="12">
        <v>0.12009809552106349</v>
      </c>
      <c r="T573" s="16">
        <v>3.9220602346946146E-2</v>
      </c>
      <c r="U573" s="12">
        <v>0.11277574100423568</v>
      </c>
    </row>
    <row r="574" spans="1:21" x14ac:dyDescent="0.25">
      <c r="A574" s="4">
        <v>43344</v>
      </c>
      <c r="B574" s="10"/>
      <c r="C574" s="9">
        <v>121.17468721464174</v>
      </c>
      <c r="D574" s="5">
        <f t="shared" si="11"/>
        <v>9</v>
      </c>
      <c r="Q574" s="4">
        <v>43344</v>
      </c>
      <c r="R574" s="12">
        <v>48.880863652225017</v>
      </c>
      <c r="S574" s="12">
        <v>72.238292272091982</v>
      </c>
      <c r="T574" s="16">
        <v>0.96657642282181078</v>
      </c>
      <c r="U574" s="12">
        <v>75.482181246848782</v>
      </c>
    </row>
    <row r="575" spans="1:21" x14ac:dyDescent="0.25">
      <c r="A575" s="4">
        <v>43374</v>
      </c>
      <c r="B575" s="10"/>
      <c r="C575" s="9">
        <v>23.50521281530947</v>
      </c>
      <c r="D575" s="5">
        <f t="shared" si="11"/>
        <v>10</v>
      </c>
      <c r="Q575" s="4">
        <v>43374</v>
      </c>
      <c r="R575" s="12">
        <v>29.184152193456136</v>
      </c>
      <c r="S575" s="12">
        <v>28.668159455328002</v>
      </c>
      <c r="T575" s="16">
        <v>0.63465470376124822</v>
      </c>
      <c r="U575" s="12">
        <v>28.784971913170317</v>
      </c>
    </row>
    <row r="576" spans="1:21" x14ac:dyDescent="0.25">
      <c r="A576" s="4">
        <v>43405</v>
      </c>
      <c r="B576" s="10"/>
      <c r="C576" s="9">
        <v>17.213161366688581</v>
      </c>
      <c r="D576" s="5">
        <f t="shared" si="11"/>
        <v>11</v>
      </c>
      <c r="Q576" s="4">
        <v>43405</v>
      </c>
      <c r="R576" s="12">
        <v>17.718014827511645</v>
      </c>
      <c r="S576" s="12">
        <v>16.970629468282183</v>
      </c>
      <c r="T576" s="16">
        <v>0.44845287191258154</v>
      </c>
      <c r="U576" s="12">
        <v>16.890025350660476</v>
      </c>
    </row>
    <row r="577" spans="1:21" x14ac:dyDescent="0.25">
      <c r="A577" s="4">
        <v>43435</v>
      </c>
      <c r="B577" s="10"/>
      <c r="C577" s="9">
        <v>13.074558082517486</v>
      </c>
      <c r="D577" s="5">
        <f t="shared" si="11"/>
        <v>12</v>
      </c>
      <c r="Q577" s="4">
        <v>43435</v>
      </c>
      <c r="R577" s="12">
        <v>23.826313380418362</v>
      </c>
      <c r="S577" s="12">
        <v>25.720195283250966</v>
      </c>
      <c r="T577" s="16">
        <v>0.6251791725696062</v>
      </c>
      <c r="U577" s="12">
        <v>26.341513008266197</v>
      </c>
    </row>
    <row r="578" spans="1:21" x14ac:dyDescent="0.25">
      <c r="A578" s="4">
        <v>43466</v>
      </c>
      <c r="B578" s="10"/>
      <c r="C578" s="9">
        <v>12.625828367315494</v>
      </c>
      <c r="D578" s="5">
        <f t="shared" si="11"/>
        <v>1</v>
      </c>
      <c r="Q578" s="4">
        <v>43466</v>
      </c>
      <c r="R578" s="12">
        <v>21.62931482039216</v>
      </c>
      <c r="S578" s="12">
        <v>10.751197389436744</v>
      </c>
      <c r="T578" s="16">
        <v>0.54184658095336491</v>
      </c>
      <c r="U578" s="12">
        <v>12.861193861402938</v>
      </c>
    </row>
    <row r="579" spans="1:21" x14ac:dyDescent="0.25">
      <c r="A579" s="4">
        <v>43497</v>
      </c>
      <c r="B579" s="10"/>
      <c r="C579" s="9">
        <v>8.2615632595740713</v>
      </c>
      <c r="D579" s="5">
        <f t="shared" ref="D579:D642" si="12">MONTH(A579)</f>
        <v>2</v>
      </c>
      <c r="Q579" s="4">
        <v>43497</v>
      </c>
      <c r="R579" s="12">
        <v>11.838887059692341</v>
      </c>
      <c r="S579" s="12">
        <v>14.074543038716916</v>
      </c>
      <c r="T579" s="16">
        <v>0.33545986740792388</v>
      </c>
      <c r="U579" s="12">
        <v>13.630556905703052</v>
      </c>
    </row>
    <row r="580" spans="1:21" x14ac:dyDescent="0.25">
      <c r="A580" s="4">
        <v>43525</v>
      </c>
      <c r="B580" s="10"/>
      <c r="C580" s="9">
        <v>90.858899686395446</v>
      </c>
      <c r="D580" s="5">
        <f t="shared" si="12"/>
        <v>3</v>
      </c>
      <c r="Q580" s="4">
        <v>43525</v>
      </c>
      <c r="R580" s="12">
        <v>102.77079990050215</v>
      </c>
      <c r="S580" s="12">
        <v>167.98981569670465</v>
      </c>
      <c r="T580" s="16">
        <v>0.99679657134626254</v>
      </c>
      <c r="U580" s="12">
        <v>154.28382639864651</v>
      </c>
    </row>
    <row r="581" spans="1:21" x14ac:dyDescent="0.25">
      <c r="A581" s="4">
        <v>43556</v>
      </c>
      <c r="B581" s="10"/>
      <c r="C581" s="9">
        <v>1.8972775901146619</v>
      </c>
      <c r="D581" s="5">
        <f t="shared" si="12"/>
        <v>4</v>
      </c>
      <c r="Q581" s="4">
        <v>43556</v>
      </c>
      <c r="R581" s="12">
        <v>1.5248039355311398</v>
      </c>
      <c r="S581" s="12">
        <v>0.2453011627363596</v>
      </c>
      <c r="T581" s="16">
        <v>1.2850289746423547E-2</v>
      </c>
      <c r="U581" s="12">
        <v>0.18484984655156703</v>
      </c>
    </row>
    <row r="582" spans="1:21" x14ac:dyDescent="0.25">
      <c r="A582" s="4">
        <v>43586</v>
      </c>
      <c r="B582" s="10"/>
      <c r="C582" s="9">
        <v>2.6666862156120881</v>
      </c>
      <c r="D582" s="5">
        <f t="shared" si="12"/>
        <v>5</v>
      </c>
      <c r="Q582" s="4">
        <v>43586</v>
      </c>
      <c r="R582" s="12">
        <v>1.1809297542828081</v>
      </c>
      <c r="S582" s="12">
        <v>0.1967533293532141</v>
      </c>
      <c r="T582" s="16">
        <v>8.2363027337644633E-3</v>
      </c>
      <c r="U582" s="12">
        <v>7.311297709513033E-2</v>
      </c>
    </row>
    <row r="583" spans="1:21" x14ac:dyDescent="0.25">
      <c r="A583" s="4">
        <v>43617</v>
      </c>
      <c r="B583" s="10"/>
      <c r="C583" s="9">
        <v>113.67501134263193</v>
      </c>
      <c r="D583" s="5">
        <f t="shared" si="12"/>
        <v>6</v>
      </c>
      <c r="Q583" s="4">
        <v>43617</v>
      </c>
      <c r="R583" s="12">
        <v>40.941513844924579</v>
      </c>
      <c r="S583" s="12">
        <v>75.466427725998074</v>
      </c>
      <c r="T583" s="16">
        <v>0.98450000057578257</v>
      </c>
      <c r="U583" s="12">
        <v>67.776321411212862</v>
      </c>
    </row>
    <row r="584" spans="1:21" x14ac:dyDescent="0.25">
      <c r="A584" s="4">
        <v>43647</v>
      </c>
      <c r="B584" s="10"/>
      <c r="C584" s="9">
        <v>11.312078559393232</v>
      </c>
      <c r="D584" s="5">
        <f t="shared" si="12"/>
        <v>7</v>
      </c>
      <c r="Q584" s="4">
        <v>43647</v>
      </c>
      <c r="R584" s="12">
        <v>2.2991425628869511</v>
      </c>
      <c r="S584" s="12">
        <v>0.37595925668133923</v>
      </c>
      <c r="T584" s="16">
        <v>6.4393687091248583E-2</v>
      </c>
      <c r="U584" s="12">
        <v>0.30970093870757709</v>
      </c>
    </row>
    <row r="585" spans="1:21" x14ac:dyDescent="0.25">
      <c r="A585" s="4">
        <v>43678</v>
      </c>
      <c r="B585" s="10"/>
      <c r="C585" s="9">
        <v>79.762397667676922</v>
      </c>
      <c r="D585" s="5">
        <f t="shared" si="12"/>
        <v>8</v>
      </c>
      <c r="Q585" s="4">
        <v>43678</v>
      </c>
      <c r="R585" s="12">
        <v>27.416370447656433</v>
      </c>
      <c r="S585" s="12">
        <v>38.917749228212372</v>
      </c>
      <c r="T585" s="16">
        <v>0.96503500668833275</v>
      </c>
      <c r="U585" s="12">
        <v>35.065717670991596</v>
      </c>
    </row>
    <row r="586" spans="1:21" x14ac:dyDescent="0.25">
      <c r="A586" s="4">
        <v>43709</v>
      </c>
      <c r="B586" s="10"/>
      <c r="C586" s="9">
        <v>71.764584920771597</v>
      </c>
      <c r="D586" s="5">
        <f t="shared" si="12"/>
        <v>9</v>
      </c>
      <c r="Q586" s="4">
        <v>43709</v>
      </c>
      <c r="R586" s="12">
        <v>28.949238254331494</v>
      </c>
      <c r="S586" s="12">
        <v>31.189231766772174</v>
      </c>
      <c r="T586" s="16">
        <v>0.87076176924420801</v>
      </c>
      <c r="U586" s="12">
        <v>33.323951017305738</v>
      </c>
    </row>
    <row r="587" spans="1:21" x14ac:dyDescent="0.25">
      <c r="A587" s="4">
        <v>43739</v>
      </c>
      <c r="B587" s="10"/>
      <c r="C587" s="9">
        <v>11.217643120665661</v>
      </c>
      <c r="D587" s="5">
        <f t="shared" si="12"/>
        <v>10</v>
      </c>
      <c r="Q587" s="4">
        <v>43739</v>
      </c>
      <c r="R587" s="12">
        <v>13.927863859720285</v>
      </c>
      <c r="S587" s="12">
        <v>13.140446523048233</v>
      </c>
      <c r="T587" s="16">
        <v>0.35241604722162889</v>
      </c>
      <c r="U587" s="12">
        <v>13.072155551744553</v>
      </c>
    </row>
    <row r="588" spans="1:21" x14ac:dyDescent="0.25">
      <c r="A588" s="4">
        <v>43770</v>
      </c>
      <c r="B588" s="10"/>
      <c r="C588" s="9">
        <v>52.638299973661852</v>
      </c>
      <c r="D588" s="5">
        <f t="shared" si="12"/>
        <v>11</v>
      </c>
      <c r="Q588" s="4">
        <v>43770</v>
      </c>
      <c r="R588" s="12">
        <v>54.182155128878939</v>
      </c>
      <c r="S588" s="12">
        <v>54.068205093894633</v>
      </c>
      <c r="T588" s="16">
        <v>0.78893981899421395</v>
      </c>
      <c r="U588" s="12">
        <v>54.273095330142112</v>
      </c>
    </row>
    <row r="589" spans="1:21" x14ac:dyDescent="0.25">
      <c r="A589" s="4">
        <v>43800</v>
      </c>
      <c r="B589" s="10"/>
      <c r="C589" s="9">
        <v>25.476499455368739</v>
      </c>
      <c r="D589" s="5">
        <f t="shared" si="12"/>
        <v>12</v>
      </c>
      <c r="Q589" s="4">
        <v>43800</v>
      </c>
      <c r="R589" s="12">
        <v>46.426889232404115</v>
      </c>
      <c r="S589" s="12">
        <v>44.94607905866949</v>
      </c>
      <c r="T589" s="16">
        <v>0.82050248970956519</v>
      </c>
      <c r="U589" s="12">
        <v>44.228624258998074</v>
      </c>
    </row>
    <row r="590" spans="1:21" x14ac:dyDescent="0.25">
      <c r="A590" s="4">
        <v>43831</v>
      </c>
      <c r="B590" s="10"/>
      <c r="C590" s="9">
        <v>5.4595049941795732</v>
      </c>
      <c r="D590" s="5">
        <f t="shared" si="12"/>
        <v>1</v>
      </c>
      <c r="Q590" s="4">
        <v>43831</v>
      </c>
      <c r="R590" s="12">
        <v>9.3526815704465811</v>
      </c>
      <c r="S590" s="12">
        <v>2.3090609788549932</v>
      </c>
      <c r="T590" s="16">
        <v>0.27599701306591207</v>
      </c>
      <c r="U590" s="12">
        <v>2.2983646813925023</v>
      </c>
    </row>
    <row r="591" spans="1:21" x14ac:dyDescent="0.25">
      <c r="A591" s="4">
        <v>43862</v>
      </c>
      <c r="B591" s="10"/>
      <c r="C591" s="9">
        <v>44.223349266303984</v>
      </c>
      <c r="D591" s="5">
        <f t="shared" si="12"/>
        <v>2</v>
      </c>
      <c r="Q591" s="4">
        <v>43862</v>
      </c>
      <c r="R591" s="12">
        <v>63.372417654536392</v>
      </c>
      <c r="S591" s="12">
        <v>60.592849335215043</v>
      </c>
      <c r="T591" s="16">
        <v>0.88649629722360412</v>
      </c>
      <c r="U591" s="12">
        <v>60.531978722387969</v>
      </c>
    </row>
    <row r="592" spans="1:21" x14ac:dyDescent="0.25">
      <c r="A592" s="4">
        <v>43891</v>
      </c>
      <c r="B592" s="10"/>
      <c r="C592" s="9">
        <v>44.939017627655545</v>
      </c>
      <c r="D592" s="5">
        <f t="shared" si="12"/>
        <v>3</v>
      </c>
      <c r="Q592" s="4">
        <v>43891</v>
      </c>
      <c r="R592" s="12">
        <v>50.830670460215309</v>
      </c>
      <c r="S592" s="12">
        <v>60.61785116794308</v>
      </c>
      <c r="T592" s="16">
        <v>0.91245850908634973</v>
      </c>
      <c r="U592" s="12">
        <v>61.919030613873197</v>
      </c>
    </row>
    <row r="593" spans="1:21" x14ac:dyDescent="0.25">
      <c r="A593" s="4">
        <v>43922</v>
      </c>
      <c r="B593" s="10"/>
      <c r="C593" s="9">
        <v>13.864934178149628</v>
      </c>
      <c r="D593" s="5">
        <f t="shared" si="12"/>
        <v>4</v>
      </c>
      <c r="Q593" s="4">
        <v>43922</v>
      </c>
      <c r="R593" s="12">
        <v>11.142969437300469</v>
      </c>
      <c r="S593" s="12">
        <v>6.0689851032025626</v>
      </c>
      <c r="T593" s="16">
        <v>0.30507296051159905</v>
      </c>
      <c r="U593" s="12">
        <v>6.9479150780573669</v>
      </c>
    </row>
    <row r="594" spans="1:21" x14ac:dyDescent="0.25">
      <c r="A594" s="4">
        <v>43952</v>
      </c>
      <c r="B594" s="10"/>
      <c r="C594" s="9">
        <v>25.826406358527851</v>
      </c>
      <c r="D594" s="5">
        <f t="shared" si="12"/>
        <v>5</v>
      </c>
      <c r="Q594" s="4">
        <v>43952</v>
      </c>
      <c r="R594" s="12">
        <v>11.437105549362032</v>
      </c>
      <c r="S594" s="12">
        <v>7.842549443064712</v>
      </c>
      <c r="T594" s="16">
        <v>0.43520369381170321</v>
      </c>
      <c r="U594" s="12">
        <v>8.1141545901440129</v>
      </c>
    </row>
    <row r="595" spans="1:21" x14ac:dyDescent="0.25">
      <c r="A595" s="4">
        <v>43983</v>
      </c>
      <c r="B595" s="10"/>
      <c r="C595" s="9">
        <v>35.523021494084716</v>
      </c>
      <c r="D595" s="5">
        <f t="shared" si="12"/>
        <v>6</v>
      </c>
      <c r="Q595" s="4">
        <v>43983</v>
      </c>
      <c r="R595" s="12">
        <v>12.794071970047712</v>
      </c>
      <c r="S595" s="12">
        <v>9.5602393712965306</v>
      </c>
      <c r="T595" s="16">
        <v>0.67317882717053701</v>
      </c>
      <c r="U595" s="12">
        <v>10.477183568815924</v>
      </c>
    </row>
    <row r="596" spans="1:21" x14ac:dyDescent="0.25">
      <c r="A596" s="4">
        <v>44013</v>
      </c>
      <c r="B596" s="10"/>
      <c r="C596" s="9">
        <v>32.687722505921286</v>
      </c>
      <c r="D596" s="5">
        <f t="shared" si="12"/>
        <v>7</v>
      </c>
      <c r="Q596" s="4">
        <v>44013</v>
      </c>
      <c r="R596" s="12">
        <v>6.6436715147098928</v>
      </c>
      <c r="S596" s="12">
        <v>3.2746011810170086</v>
      </c>
      <c r="T596" s="16">
        <v>0.39413649810240742</v>
      </c>
      <c r="U596" s="12">
        <v>3.860411052451294</v>
      </c>
    </row>
    <row r="597" spans="1:21" x14ac:dyDescent="0.25">
      <c r="A597" s="4">
        <v>44044</v>
      </c>
      <c r="B597" s="10"/>
      <c r="C597" s="9">
        <v>90.038033145341416</v>
      </c>
      <c r="D597" s="5">
        <f t="shared" si="12"/>
        <v>8</v>
      </c>
      <c r="Q597" s="4">
        <v>44044</v>
      </c>
      <c r="R597" s="12">
        <v>30.948368445190251</v>
      </c>
      <c r="S597" s="12">
        <v>47.055717301279429</v>
      </c>
      <c r="T597" s="16">
        <v>0.97832286471489915</v>
      </c>
      <c r="U597" s="12">
        <v>40.778507616547699</v>
      </c>
    </row>
    <row r="598" spans="1:21" x14ac:dyDescent="0.25">
      <c r="A598" s="4">
        <v>44075</v>
      </c>
      <c r="B598" s="10"/>
      <c r="C598" s="9">
        <v>12.222426453552462</v>
      </c>
      <c r="D598" s="5">
        <f t="shared" si="12"/>
        <v>9</v>
      </c>
      <c r="Q598" s="4">
        <v>44075</v>
      </c>
      <c r="R598" s="12">
        <v>4.930425443699896</v>
      </c>
      <c r="S598" s="12">
        <v>1.8257112038443952</v>
      </c>
      <c r="T598" s="16">
        <v>0.31482167591667826</v>
      </c>
      <c r="U598" s="12">
        <v>0.86963513855880281</v>
      </c>
    </row>
    <row r="599" spans="1:21" x14ac:dyDescent="0.25">
      <c r="A599" s="4">
        <v>44105</v>
      </c>
      <c r="B599" s="10"/>
      <c r="C599" s="9">
        <v>40.789450548088602</v>
      </c>
      <c r="D599" s="5">
        <f t="shared" si="12"/>
        <v>10</v>
      </c>
      <c r="Q599" s="4">
        <v>44105</v>
      </c>
      <c r="R599" s="12">
        <v>50.644320561417459</v>
      </c>
      <c r="S599" s="12">
        <v>51.267664329812746</v>
      </c>
      <c r="T599" s="16">
        <v>0.84372216372374875</v>
      </c>
      <c r="U599" s="12">
        <v>51.476465611956911</v>
      </c>
    </row>
    <row r="600" spans="1:21" x14ac:dyDescent="0.25">
      <c r="A600" s="4">
        <v>44136</v>
      </c>
      <c r="B600" s="10"/>
      <c r="C600" s="9">
        <v>120.90612569914433</v>
      </c>
      <c r="D600" s="5">
        <f t="shared" si="12"/>
        <v>11</v>
      </c>
      <c r="Q600" s="4">
        <v>44136</v>
      </c>
      <c r="R600" s="12">
        <v>124.45224222553951</v>
      </c>
      <c r="S600" s="12">
        <v>128.03622942597067</v>
      </c>
      <c r="T600" s="16">
        <v>0.96219296169596347</v>
      </c>
      <c r="U600" s="12">
        <v>127.97908887972847</v>
      </c>
    </row>
    <row r="601" spans="1:21" x14ac:dyDescent="0.25">
      <c r="A601" s="4">
        <v>44166</v>
      </c>
      <c r="B601" s="10"/>
      <c r="C601" s="9">
        <v>41.928747609664924</v>
      </c>
      <c r="D601" s="5">
        <f t="shared" si="12"/>
        <v>12</v>
      </c>
      <c r="Q601" s="4">
        <v>44166</v>
      </c>
      <c r="R601" s="12">
        <v>76.408508332848101</v>
      </c>
      <c r="S601" s="12">
        <v>68.193268771354909</v>
      </c>
      <c r="T601" s="16">
        <v>0.92889016093362198</v>
      </c>
      <c r="U601" s="12">
        <v>66.255806429302069</v>
      </c>
    </row>
    <row r="602" spans="1:21" x14ac:dyDescent="0.25">
      <c r="A602" s="4">
        <v>44197</v>
      </c>
      <c r="B602" s="10"/>
      <c r="C602" s="9">
        <v>7.137738506995002E-2</v>
      </c>
      <c r="D602" s="5">
        <f t="shared" si="12"/>
        <v>1</v>
      </c>
      <c r="Q602" s="4">
        <v>44197</v>
      </c>
      <c r="R602" s="12">
        <v>0.12227664497094384</v>
      </c>
      <c r="S602" s="12">
        <v>8.0841378674281479E-4</v>
      </c>
      <c r="T602" s="16">
        <v>3.0971168690417414E-3</v>
      </c>
      <c r="U602" s="12">
        <v>4.9507266303934828E-5</v>
      </c>
    </row>
    <row r="603" spans="1:21" x14ac:dyDescent="0.25">
      <c r="A603" s="4">
        <v>44228</v>
      </c>
      <c r="B603" s="10"/>
      <c r="C603" s="9">
        <v>5.8642620368161813</v>
      </c>
      <c r="D603" s="5">
        <f t="shared" si="12"/>
        <v>2</v>
      </c>
      <c r="Q603" s="4">
        <v>44228</v>
      </c>
      <c r="R603" s="12">
        <v>8.4035349922246372</v>
      </c>
      <c r="S603" s="12">
        <v>10.445096119538565</v>
      </c>
      <c r="T603" s="16">
        <v>0.25209417217144359</v>
      </c>
      <c r="U603" s="12">
        <v>10.146673352236993</v>
      </c>
    </row>
    <row r="604" spans="1:21" x14ac:dyDescent="0.25">
      <c r="A604" s="4">
        <v>44256</v>
      </c>
      <c r="B604" s="10"/>
      <c r="C604" s="9">
        <v>8.9113867260575148</v>
      </c>
      <c r="D604" s="5">
        <f t="shared" si="12"/>
        <v>3</v>
      </c>
      <c r="Q604" s="4">
        <v>44256</v>
      </c>
      <c r="R604" s="12">
        <v>10.079698799134563</v>
      </c>
      <c r="S604" s="12">
        <v>5.8237435750457394</v>
      </c>
      <c r="T604" s="16">
        <v>0.2283797916721485</v>
      </c>
      <c r="U604" s="12">
        <v>5.057582053209833</v>
      </c>
    </row>
    <row r="605" spans="1:21" x14ac:dyDescent="0.25">
      <c r="A605" s="4">
        <v>44287</v>
      </c>
      <c r="B605" s="10"/>
      <c r="C605" s="9">
        <v>50.001528355308743</v>
      </c>
      <c r="D605" s="5">
        <f t="shared" si="12"/>
        <v>4</v>
      </c>
      <c r="Q605" s="4">
        <v>44287</v>
      </c>
      <c r="R605" s="12">
        <v>40.185225196350387</v>
      </c>
      <c r="S605" s="12">
        <v>48.055744253581224</v>
      </c>
      <c r="T605" s="16">
        <v>0.89388252875127727</v>
      </c>
      <c r="U605" s="12">
        <v>47.502081634165869</v>
      </c>
    </row>
    <row r="606" spans="1:21" x14ac:dyDescent="0.25">
      <c r="A606" s="4">
        <v>44317</v>
      </c>
      <c r="B606" s="10"/>
      <c r="C606" s="9">
        <v>17.593089139937256</v>
      </c>
      <c r="D606" s="5">
        <f t="shared" si="12"/>
        <v>5</v>
      </c>
      <c r="Q606" s="4">
        <v>44317</v>
      </c>
      <c r="R606" s="12">
        <v>7.7910187983376424</v>
      </c>
      <c r="S606" s="12">
        <v>4.2058079795080268</v>
      </c>
      <c r="T606" s="16">
        <v>0.26046948718136653</v>
      </c>
      <c r="U606" s="12">
        <v>4.0438310735346201</v>
      </c>
    </row>
    <row r="607" spans="1:21" x14ac:dyDescent="0.25">
      <c r="A607" s="4">
        <v>44348</v>
      </c>
      <c r="B607" s="10"/>
      <c r="C607" s="9">
        <v>43.097179500283971</v>
      </c>
      <c r="D607" s="5">
        <f t="shared" si="12"/>
        <v>6</v>
      </c>
      <c r="Q607" s="4">
        <v>44348</v>
      </c>
      <c r="R607" s="12">
        <v>15.522002156390752</v>
      </c>
      <c r="S607" s="12">
        <v>13.476151016473041</v>
      </c>
      <c r="T607" s="16">
        <v>0.75324038026959728</v>
      </c>
      <c r="U607" s="12">
        <v>14.827445017242137</v>
      </c>
    </row>
    <row r="608" spans="1:21" x14ac:dyDescent="0.25">
      <c r="A608" s="4">
        <v>44378</v>
      </c>
      <c r="B608" s="10"/>
      <c r="C608" s="9">
        <v>56.971892149884042</v>
      </c>
      <c r="D608" s="5">
        <f t="shared" si="12"/>
        <v>7</v>
      </c>
      <c r="Q608" s="4">
        <v>44378</v>
      </c>
      <c r="R608" s="12">
        <v>11.579348697259165</v>
      </c>
      <c r="S608" s="12">
        <v>10.169714660708598</v>
      </c>
      <c r="T608" s="16">
        <v>0.71417924626972806</v>
      </c>
      <c r="U608" s="12">
        <v>11.411407573617078</v>
      </c>
    </row>
    <row r="609" spans="1:21" x14ac:dyDescent="0.25">
      <c r="A609" s="4">
        <v>44409</v>
      </c>
      <c r="B609" s="10"/>
      <c r="C609" s="9">
        <v>7.4839593396061037</v>
      </c>
      <c r="D609" s="5">
        <f t="shared" si="12"/>
        <v>8</v>
      </c>
      <c r="Q609" s="4">
        <v>44409</v>
      </c>
      <c r="R609" s="12">
        <v>2.5724277061569318</v>
      </c>
      <c r="S609" s="12">
        <v>0.95467154434020396</v>
      </c>
      <c r="T609" s="16">
        <v>0.19021060551997884</v>
      </c>
      <c r="U609" s="12">
        <v>1.116660799564031</v>
      </c>
    </row>
    <row r="610" spans="1:21" x14ac:dyDescent="0.25">
      <c r="A610" s="4">
        <v>44440</v>
      </c>
      <c r="B610" s="10"/>
      <c r="C610" s="9">
        <v>1.4222605092486891</v>
      </c>
      <c r="D610" s="5">
        <f t="shared" si="12"/>
        <v>9</v>
      </c>
      <c r="Q610" s="4">
        <v>44440</v>
      </c>
      <c r="R610" s="12">
        <v>0.57372809147329007</v>
      </c>
      <c r="S610" s="12">
        <v>5.8026447254011987E-2</v>
      </c>
      <c r="T610" s="16">
        <v>4.928453212781915E-2</v>
      </c>
      <c r="U610" s="12">
        <v>2.7774306479484302E-3</v>
      </c>
    </row>
    <row r="611" spans="1:21" x14ac:dyDescent="0.25">
      <c r="A611" s="4">
        <v>44470</v>
      </c>
      <c r="B611" s="10"/>
      <c r="C611" s="9">
        <v>46.353260093575209</v>
      </c>
      <c r="D611" s="5">
        <f t="shared" si="12"/>
        <v>10</v>
      </c>
      <c r="Q611" s="4">
        <v>44470</v>
      </c>
      <c r="R611" s="12">
        <v>57.552365420518953</v>
      </c>
      <c r="S611" s="12">
        <v>58.668589001448062</v>
      </c>
      <c r="T611" s="16">
        <v>0.8817816054970099</v>
      </c>
      <c r="U611" s="12">
        <v>58.857042851594187</v>
      </c>
    </row>
    <row r="612" spans="1:21" x14ac:dyDescent="0.25">
      <c r="A612" s="4">
        <v>44501</v>
      </c>
      <c r="B612" s="10"/>
      <c r="C612" s="9">
        <v>36.878621689034574</v>
      </c>
      <c r="D612" s="5">
        <f t="shared" si="12"/>
        <v>11</v>
      </c>
      <c r="Q612" s="4">
        <v>44501</v>
      </c>
      <c r="R612" s="12">
        <v>37.960253319243087</v>
      </c>
      <c r="S612" s="12">
        <v>37.389334924813191</v>
      </c>
      <c r="T612" s="16">
        <v>0.68025312037577446</v>
      </c>
      <c r="U612" s="12">
        <v>37.493943445326678</v>
      </c>
    </row>
    <row r="613" spans="1:21" x14ac:dyDescent="0.25">
      <c r="A613" s="4">
        <v>44531</v>
      </c>
      <c r="B613" s="10"/>
      <c r="C613" s="9">
        <v>18.524519784355402</v>
      </c>
      <c r="D613" s="5">
        <f t="shared" si="12"/>
        <v>12</v>
      </c>
      <c r="Q613" s="4">
        <v>44531</v>
      </c>
      <c r="R613" s="12">
        <v>33.758006260570028</v>
      </c>
      <c r="S613" s="12">
        <v>34.426386454900531</v>
      </c>
      <c r="T613" s="16">
        <v>0.73055155433322971</v>
      </c>
      <c r="U613" s="12">
        <v>34.42079117034622</v>
      </c>
    </row>
    <row r="614" spans="1:21" x14ac:dyDescent="0.25">
      <c r="A614" s="4">
        <v>44562</v>
      </c>
      <c r="B614" s="10"/>
      <c r="C614" s="9">
        <v>15.985441943598039</v>
      </c>
      <c r="D614" s="5">
        <f t="shared" si="12"/>
        <v>1</v>
      </c>
      <c r="Q614" s="4">
        <v>44562</v>
      </c>
      <c r="R614" s="12">
        <v>27.384671031663789</v>
      </c>
      <c r="S614" s="12">
        <v>16.574771242992725</v>
      </c>
      <c r="T614" s="16">
        <v>0.63172939865956901</v>
      </c>
      <c r="U614" s="12">
        <v>19.929850611387231</v>
      </c>
    </row>
    <row r="615" spans="1:21" x14ac:dyDescent="0.25">
      <c r="A615" s="4">
        <v>44593</v>
      </c>
      <c r="B615" s="10"/>
      <c r="C615" s="9">
        <v>23.269892782949075</v>
      </c>
      <c r="D615" s="5">
        <f t="shared" si="12"/>
        <v>2</v>
      </c>
      <c r="Q615" s="4">
        <v>44593</v>
      </c>
      <c r="R615" s="12">
        <v>33.345944816100946</v>
      </c>
      <c r="S615" s="12">
        <v>34.655472468195008</v>
      </c>
      <c r="T615" s="16">
        <v>0.68238854892788892</v>
      </c>
      <c r="U615" s="12">
        <v>33.875746448680871</v>
      </c>
    </row>
    <row r="616" spans="1:21" x14ac:dyDescent="0.25">
      <c r="A616" s="4">
        <v>44621</v>
      </c>
      <c r="B616" s="10"/>
      <c r="C616" s="9">
        <v>4.4978021358899491</v>
      </c>
      <c r="D616" s="5">
        <f t="shared" si="12"/>
        <v>3</v>
      </c>
      <c r="Q616" s="4">
        <v>44621</v>
      </c>
      <c r="R616" s="12">
        <v>5.0874787708749905</v>
      </c>
      <c r="S616" s="12">
        <v>2.164012240902589</v>
      </c>
      <c r="T616" s="16">
        <v>8.5753151703042749E-2</v>
      </c>
      <c r="U616" s="12">
        <v>1.4664321004069976</v>
      </c>
    </row>
    <row r="617" spans="1:21" x14ac:dyDescent="0.25">
      <c r="A617" s="4">
        <v>44652</v>
      </c>
      <c r="B617" s="10"/>
      <c r="C617" s="9">
        <v>7.5201828755816518</v>
      </c>
      <c r="D617" s="5">
        <f t="shared" si="12"/>
        <v>4</v>
      </c>
      <c r="Q617" s="4">
        <v>44652</v>
      </c>
      <c r="R617" s="12">
        <v>6.0438201053688676</v>
      </c>
      <c r="S617" s="12">
        <v>2.2621408327322263</v>
      </c>
      <c r="T617" s="16">
        <v>0.12887210267872828</v>
      </c>
      <c r="U617" s="12">
        <v>2.4424701408377461</v>
      </c>
    </row>
    <row r="618" spans="1:21" x14ac:dyDescent="0.25">
      <c r="A618" s="4">
        <v>44682</v>
      </c>
      <c r="B618" s="10"/>
      <c r="C618" s="9">
        <v>4.4995303121943531</v>
      </c>
      <c r="D618" s="5">
        <f t="shared" si="12"/>
        <v>5</v>
      </c>
      <c r="Q618" s="4">
        <v>44682</v>
      </c>
      <c r="R618" s="12">
        <v>1.992596352303895</v>
      </c>
      <c r="S618" s="12">
        <v>0.45992268744851034</v>
      </c>
      <c r="T618" s="16">
        <v>2.3510049373488121E-2</v>
      </c>
      <c r="U618" s="12">
        <v>0.23967279099798994</v>
      </c>
    </row>
    <row r="619" spans="1:21" x14ac:dyDescent="0.25">
      <c r="A619" s="4">
        <v>44713</v>
      </c>
      <c r="B619" s="10"/>
      <c r="C619" s="9">
        <v>57.467113727441124</v>
      </c>
      <c r="D619" s="5">
        <f t="shared" si="12"/>
        <v>6</v>
      </c>
      <c r="Q619" s="4">
        <v>44713</v>
      </c>
      <c r="R619" s="12">
        <v>20.697518342076567</v>
      </c>
      <c r="S619" s="12">
        <v>22.467026266480406</v>
      </c>
      <c r="T619" s="16">
        <v>0.85707309165573098</v>
      </c>
      <c r="U619" s="12">
        <v>24.140446839016889</v>
      </c>
    </row>
    <row r="620" spans="1:21" x14ac:dyDescent="0.25">
      <c r="A620" s="4">
        <v>44743</v>
      </c>
      <c r="B620" s="10"/>
      <c r="C620" s="9">
        <v>55.168174087738528</v>
      </c>
      <c r="D620" s="5">
        <f t="shared" si="12"/>
        <v>7</v>
      </c>
      <c r="Q620" s="4">
        <v>44743</v>
      </c>
      <c r="R620" s="12">
        <v>11.212748965268871</v>
      </c>
      <c r="S620" s="12">
        <v>9.5237693458067056</v>
      </c>
      <c r="T620" s="16">
        <v>0.69602233791682644</v>
      </c>
      <c r="U620" s="12">
        <v>10.763875243169382</v>
      </c>
    </row>
    <row r="621" spans="1:21" x14ac:dyDescent="0.25">
      <c r="A621" s="4">
        <v>44774</v>
      </c>
      <c r="B621" s="10"/>
      <c r="C621" s="9">
        <v>90.116851509857611</v>
      </c>
      <c r="D621" s="5">
        <f t="shared" si="12"/>
        <v>8</v>
      </c>
      <c r="Q621" s="4">
        <v>44774</v>
      </c>
      <c r="R621" s="12">
        <v>30.97546032736583</v>
      </c>
      <c r="S621" s="12">
        <v>47.120278910270798</v>
      </c>
      <c r="T621" s="16">
        <v>0.97840246306569312</v>
      </c>
      <c r="U621" s="12">
        <v>40.822664204355867</v>
      </c>
    </row>
    <row r="622" spans="1:21" x14ac:dyDescent="0.25">
      <c r="A622" s="4">
        <v>44805</v>
      </c>
      <c r="B622" s="10"/>
      <c r="C622" s="9">
        <v>12.441468923885402</v>
      </c>
      <c r="D622" s="5">
        <f t="shared" si="12"/>
        <v>9</v>
      </c>
      <c r="Q622" s="4">
        <v>44805</v>
      </c>
      <c r="R622" s="12">
        <v>5.0187853592276763</v>
      </c>
      <c r="S622" s="12">
        <v>1.87845421576078</v>
      </c>
      <c r="T622" s="16">
        <v>0.31918702273070559</v>
      </c>
      <c r="U622" s="12">
        <v>0.90805483580634827</v>
      </c>
    </row>
    <row r="623" spans="1:21" x14ac:dyDescent="0.25">
      <c r="A623" s="4">
        <v>44835</v>
      </c>
      <c r="B623" s="10"/>
      <c r="C623" s="9">
        <v>7.9386855272041332</v>
      </c>
      <c r="D623" s="5">
        <f t="shared" si="12"/>
        <v>10</v>
      </c>
      <c r="Q623" s="4">
        <v>44835</v>
      </c>
      <c r="R623" s="12">
        <v>9.8566989570505879</v>
      </c>
      <c r="S623" s="12">
        <v>9.1256793597640655</v>
      </c>
      <c r="T623" s="16">
        <v>0.25267629722691215</v>
      </c>
      <c r="U623" s="12">
        <v>9.0084651603944135</v>
      </c>
    </row>
    <row r="624" spans="1:21" x14ac:dyDescent="0.25">
      <c r="A624" s="4">
        <v>44866</v>
      </c>
      <c r="B624" s="10"/>
      <c r="C624" s="9">
        <v>57.761189403066552</v>
      </c>
      <c r="D624" s="5">
        <f t="shared" si="12"/>
        <v>11</v>
      </c>
      <c r="Q624" s="4">
        <v>44866</v>
      </c>
      <c r="R624" s="12">
        <v>59.455296357052802</v>
      </c>
      <c r="S624" s="12">
        <v>59.532678228604247</v>
      </c>
      <c r="T624" s="16">
        <v>0.81516710842813056</v>
      </c>
      <c r="U624" s="12">
        <v>59.757130656974319</v>
      </c>
    </row>
    <row r="625" spans="1:21" x14ac:dyDescent="0.25">
      <c r="A625" s="4">
        <v>44896</v>
      </c>
      <c r="B625" s="10"/>
      <c r="C625" s="9">
        <v>6.5254416322597342</v>
      </c>
      <c r="D625" s="5">
        <f t="shared" si="12"/>
        <v>12</v>
      </c>
      <c r="Q625" s="4">
        <v>44896</v>
      </c>
      <c r="R625" s="12">
        <v>11.891584885285258</v>
      </c>
      <c r="S625" s="12">
        <v>14.37898928088388</v>
      </c>
      <c r="T625" s="16">
        <v>0.42791248787501246</v>
      </c>
      <c r="U625" s="12">
        <v>15.742651085990666</v>
      </c>
    </row>
    <row r="626" spans="1:21" x14ac:dyDescent="0.25">
      <c r="A626" s="4">
        <v>44927</v>
      </c>
      <c r="B626" s="10"/>
      <c r="C626" s="9">
        <v>51.06707312668226</v>
      </c>
      <c r="D626" s="5">
        <f t="shared" si="12"/>
        <v>1</v>
      </c>
      <c r="Q626" s="4">
        <v>44927</v>
      </c>
      <c r="R626" s="12">
        <v>87.483036318816019</v>
      </c>
      <c r="S626" s="12">
        <v>139.60252665265193</v>
      </c>
      <c r="T626" s="16">
        <v>0.96409493015793735</v>
      </c>
      <c r="U626" s="12">
        <v>128.09545639866269</v>
      </c>
    </row>
    <row r="627" spans="1:21" x14ac:dyDescent="0.25">
      <c r="A627" s="4">
        <v>44958</v>
      </c>
      <c r="B627" s="10"/>
      <c r="C627" s="9">
        <v>5.9970954242940293E-2</v>
      </c>
      <c r="D627" s="5">
        <f t="shared" si="12"/>
        <v>2</v>
      </c>
      <c r="Q627" s="4">
        <v>44958</v>
      </c>
      <c r="R627" s="12">
        <v>8.5938863122710166E-2</v>
      </c>
      <c r="S627" s="12">
        <v>0.19367038985522375</v>
      </c>
      <c r="T627" s="16">
        <v>3.0349029380821566E-3</v>
      </c>
      <c r="U627" s="12">
        <v>0.22678812842023871</v>
      </c>
    </row>
    <row r="628" spans="1:21" x14ac:dyDescent="0.25">
      <c r="A628" s="4">
        <v>44986</v>
      </c>
      <c r="B628" s="10"/>
      <c r="C628" s="9">
        <v>21.229711498022731</v>
      </c>
      <c r="D628" s="5">
        <f t="shared" si="12"/>
        <v>3</v>
      </c>
      <c r="Q628" s="4">
        <v>44986</v>
      </c>
      <c r="R628" s="12">
        <v>24.012996413551882</v>
      </c>
      <c r="S628" s="12">
        <v>20.466975112105292</v>
      </c>
      <c r="T628" s="16">
        <v>0.5960844053742852</v>
      </c>
      <c r="U628" s="12">
        <v>20.950934591423103</v>
      </c>
    </row>
    <row r="629" spans="1:21" x14ac:dyDescent="0.25">
      <c r="A629" s="4">
        <v>45017</v>
      </c>
      <c r="B629" s="10"/>
      <c r="C629" s="9">
        <v>18.110551408977461</v>
      </c>
      <c r="D629" s="5">
        <f t="shared" si="12"/>
        <v>4</v>
      </c>
      <c r="Q629" s="4">
        <v>45017</v>
      </c>
      <c r="R629" s="12">
        <v>14.555086829112312</v>
      </c>
      <c r="S629" s="12">
        <v>9.3382100751471224</v>
      </c>
      <c r="T629" s="16">
        <v>0.41998585496422153</v>
      </c>
      <c r="U629" s="12">
        <v>10.690875100426211</v>
      </c>
    </row>
    <row r="630" spans="1:21" x14ac:dyDescent="0.25">
      <c r="A630" s="4">
        <v>45047</v>
      </c>
      <c r="B630" s="10"/>
      <c r="C630" s="9">
        <v>34.463372942585174</v>
      </c>
      <c r="D630" s="5">
        <f t="shared" si="12"/>
        <v>5</v>
      </c>
      <c r="Q630" s="4">
        <v>45047</v>
      </c>
      <c r="R630" s="12">
        <v>15.261946569706266</v>
      </c>
      <c r="S630" s="12">
        <v>12.52629957173035</v>
      </c>
      <c r="T630" s="16">
        <v>0.59350564554520702</v>
      </c>
      <c r="U630" s="12">
        <v>13.257445580042225</v>
      </c>
    </row>
    <row r="631" spans="1:21" x14ac:dyDescent="0.25">
      <c r="A631" s="4">
        <v>45078</v>
      </c>
      <c r="B631" s="10"/>
      <c r="C631" s="9">
        <v>49.638025419577666</v>
      </c>
      <c r="D631" s="5">
        <f t="shared" si="12"/>
        <v>6</v>
      </c>
      <c r="Q631" s="4">
        <v>45078</v>
      </c>
      <c r="R631" s="12">
        <v>17.877771736700002</v>
      </c>
      <c r="S631" s="12">
        <v>17.320762192510866</v>
      </c>
      <c r="T631" s="16">
        <v>0.80720258317205973</v>
      </c>
      <c r="U631" s="12">
        <v>18.917848234464408</v>
      </c>
    </row>
    <row r="632" spans="1:21" x14ac:dyDescent="0.25">
      <c r="A632" s="4">
        <v>45108</v>
      </c>
      <c r="B632" s="10"/>
      <c r="C632" s="9">
        <v>47.054503292700367</v>
      </c>
      <c r="D632" s="5">
        <f t="shared" si="12"/>
        <v>7</v>
      </c>
      <c r="Q632" s="4">
        <v>45108</v>
      </c>
      <c r="R632" s="12">
        <v>9.5636722046911355</v>
      </c>
      <c r="S632" s="12">
        <v>6.8847093981033325</v>
      </c>
      <c r="T632" s="16">
        <v>0.60295882879282736</v>
      </c>
      <c r="U632" s="12">
        <v>8.0022314666119367</v>
      </c>
    </row>
    <row r="633" spans="1:21" x14ac:dyDescent="0.25">
      <c r="A633" s="4">
        <v>45139</v>
      </c>
      <c r="B633" s="10"/>
      <c r="C633" s="9">
        <v>25.173669304389271</v>
      </c>
      <c r="D633" s="5">
        <f t="shared" si="12"/>
        <v>8</v>
      </c>
      <c r="Q633" s="4">
        <v>45139</v>
      </c>
      <c r="R633" s="12">
        <v>8.6528322036088952</v>
      </c>
      <c r="S633" s="12">
        <v>6.3876694094110773</v>
      </c>
      <c r="T633" s="16">
        <v>0.59586935638526028</v>
      </c>
      <c r="U633" s="12">
        <v>7.4007819044678742</v>
      </c>
    </row>
    <row r="634" spans="1:21" x14ac:dyDescent="0.25">
      <c r="A634" s="4">
        <v>45170</v>
      </c>
      <c r="B634" s="10"/>
      <c r="C634" s="9">
        <v>21.673872907249869</v>
      </c>
      <c r="D634" s="5">
        <f t="shared" si="12"/>
        <v>9</v>
      </c>
      <c r="Q634" s="4">
        <v>45170</v>
      </c>
      <c r="R634" s="12">
        <v>8.7430605413349163</v>
      </c>
      <c r="S634" s="12">
        <v>4.5741429331732224</v>
      </c>
      <c r="T634" s="16">
        <v>0.47810233960701459</v>
      </c>
      <c r="U634" s="12">
        <v>3.2990065272350422</v>
      </c>
    </row>
    <row r="635" spans="1:21" x14ac:dyDescent="0.25">
      <c r="A635" s="4">
        <v>45200</v>
      </c>
      <c r="B635" s="10"/>
      <c r="C635" s="9">
        <v>27.973631542091432</v>
      </c>
      <c r="D635" s="5">
        <f t="shared" si="12"/>
        <v>10</v>
      </c>
      <c r="Q635" s="4">
        <v>45200</v>
      </c>
      <c r="R635" s="12">
        <v>34.732156085663284</v>
      </c>
      <c r="S635" s="12">
        <v>34.443568980679437</v>
      </c>
      <c r="T635" s="16">
        <v>0.70567635191910238</v>
      </c>
      <c r="U635" s="12">
        <v>34.60639125973065</v>
      </c>
    </row>
    <row r="636" spans="1:21" x14ac:dyDescent="0.25">
      <c r="A636" s="4">
        <v>45231</v>
      </c>
      <c r="B636" s="10"/>
      <c r="C636" s="9">
        <v>1.6980229731612138</v>
      </c>
      <c r="D636" s="5">
        <f t="shared" si="12"/>
        <v>11</v>
      </c>
      <c r="Q636" s="4">
        <v>45231</v>
      </c>
      <c r="R636" s="12">
        <v>1.7478251423441791</v>
      </c>
      <c r="S636" s="12">
        <v>1.5377667258648446</v>
      </c>
      <c r="T636" s="16">
        <v>8.6308655287492778E-2</v>
      </c>
      <c r="U636" s="12">
        <v>1.4464682641087312</v>
      </c>
    </row>
    <row r="637" spans="1:21" x14ac:dyDescent="0.25">
      <c r="A637" s="4">
        <v>45261</v>
      </c>
      <c r="B637" s="10"/>
      <c r="C637" s="9">
        <v>59.099752660183931</v>
      </c>
      <c r="D637" s="5">
        <f t="shared" si="12"/>
        <v>12</v>
      </c>
      <c r="Q637" s="4">
        <v>45261</v>
      </c>
      <c r="R637" s="12">
        <v>107.6999481511824</v>
      </c>
      <c r="S637" s="12">
        <v>90.882277723529299</v>
      </c>
      <c r="T637" s="16">
        <v>0.9721730081885771</v>
      </c>
      <c r="U637" s="12">
        <v>88.304871024297356</v>
      </c>
    </row>
    <row r="638" spans="1:21" x14ac:dyDescent="0.25">
      <c r="A638" s="4">
        <v>45292</v>
      </c>
      <c r="B638" s="10"/>
      <c r="C638" s="9">
        <v>14.963725997722388</v>
      </c>
      <c r="D638" s="5">
        <f t="shared" si="12"/>
        <v>1</v>
      </c>
      <c r="Q638" s="4">
        <v>45292</v>
      </c>
      <c r="R638" s="12">
        <v>25.634368777629753</v>
      </c>
      <c r="S638" s="12">
        <v>14.683167331815275</v>
      </c>
      <c r="T638" s="16">
        <v>0.60637232677405706</v>
      </c>
      <c r="U638" s="12">
        <v>17.668087939954574</v>
      </c>
    </row>
    <row r="639" spans="1:21" x14ac:dyDescent="0.25">
      <c r="A639" s="4">
        <v>45323</v>
      </c>
      <c r="B639" s="10"/>
      <c r="C639" s="9">
        <v>36.131046377100304</v>
      </c>
      <c r="D639" s="5">
        <f t="shared" si="12"/>
        <v>2</v>
      </c>
      <c r="Q639" s="4">
        <v>45323</v>
      </c>
      <c r="R639" s="12">
        <v>51.776082076390175</v>
      </c>
      <c r="S639" s="12">
        <v>50.821415463537669</v>
      </c>
      <c r="T639" s="16">
        <v>0.83113320893085796</v>
      </c>
      <c r="U639" s="12">
        <v>50.353807083862065</v>
      </c>
    </row>
    <row r="640" spans="1:21" x14ac:dyDescent="0.25">
      <c r="A640" s="4">
        <v>45352</v>
      </c>
      <c r="B640" s="10"/>
      <c r="C640" s="9">
        <v>24.430175710233335</v>
      </c>
      <c r="D640" s="5">
        <f t="shared" si="12"/>
        <v>3</v>
      </c>
      <c r="Q640" s="4">
        <v>45352</v>
      </c>
      <c r="R640" s="12">
        <v>27.633051997287545</v>
      </c>
      <c r="S640" s="12">
        <v>25.081262184295369</v>
      </c>
      <c r="T640" s="16">
        <v>0.66643011230179949</v>
      </c>
      <c r="U640" s="12">
        <v>25.91854657919799</v>
      </c>
    </row>
    <row r="641" spans="1:21" x14ac:dyDescent="0.25">
      <c r="A641" s="4">
        <v>45383</v>
      </c>
      <c r="B641" s="10"/>
      <c r="C641" s="9">
        <v>36.007414791959569</v>
      </c>
      <c r="D641" s="5">
        <f t="shared" si="12"/>
        <v>4</v>
      </c>
      <c r="Q641" s="4">
        <v>45383</v>
      </c>
      <c r="R641" s="12">
        <v>28.938436878793258</v>
      </c>
      <c r="S641" s="12">
        <v>28.295953129805511</v>
      </c>
      <c r="T641" s="16">
        <v>0.76495964138858119</v>
      </c>
      <c r="U641" s="12">
        <v>30.063270592483008</v>
      </c>
    </row>
    <row r="642" spans="1:21" x14ac:dyDescent="0.25">
      <c r="A642" s="4">
        <v>45413</v>
      </c>
      <c r="B642" s="10"/>
      <c r="C642" s="9">
        <v>36.884496404347495</v>
      </c>
      <c r="D642" s="5">
        <f t="shared" si="12"/>
        <v>5</v>
      </c>
      <c r="Q642" s="4">
        <v>45413</v>
      </c>
      <c r="R642" s="12">
        <v>16.334129985230859</v>
      </c>
      <c r="S642" s="12">
        <v>13.985626357648318</v>
      </c>
      <c r="T642" s="16">
        <v>0.631665827069123</v>
      </c>
      <c r="U642" s="12">
        <v>14.82199799863581</v>
      </c>
    </row>
    <row r="643" spans="1:21" x14ac:dyDescent="0.25">
      <c r="A643" s="4">
        <v>45444</v>
      </c>
      <c r="B643" s="10"/>
      <c r="C643" s="9">
        <v>44.378383813531919</v>
      </c>
      <c r="D643" s="5">
        <f t="shared" ref="D643:D706" si="13">MONTH(A643)</f>
        <v>6</v>
      </c>
      <c r="Q643" s="4">
        <v>45444</v>
      </c>
      <c r="R643" s="12">
        <v>15.983444328328726</v>
      </c>
      <c r="S643" s="12">
        <v>14.195952212914538</v>
      </c>
      <c r="T643" s="16">
        <v>0.76482109359463091</v>
      </c>
      <c r="U643" s="12">
        <v>15.606509658253909</v>
      </c>
    </row>
    <row r="644" spans="1:21" x14ac:dyDescent="0.25">
      <c r="A644" s="4">
        <v>45474</v>
      </c>
      <c r="B644" s="10"/>
      <c r="C644" s="9">
        <v>18.69990985609315</v>
      </c>
      <c r="D644" s="5">
        <f t="shared" si="13"/>
        <v>7</v>
      </c>
      <c r="Q644" s="4">
        <v>45474</v>
      </c>
      <c r="R644" s="12">
        <v>3.8006948454748972</v>
      </c>
      <c r="S644" s="12">
        <v>1.0481398516631528</v>
      </c>
      <c r="T644" s="16">
        <v>0.16528488090416174</v>
      </c>
      <c r="U644" s="12">
        <v>1.0982511180591947</v>
      </c>
    </row>
    <row r="645" spans="1:21" x14ac:dyDescent="0.25">
      <c r="A645" s="4">
        <v>45505</v>
      </c>
      <c r="B645" s="10"/>
      <c r="C645" s="9">
        <v>4.3963772647337187</v>
      </c>
      <c r="D645" s="5">
        <f t="shared" si="13"/>
        <v>8</v>
      </c>
      <c r="Q645" s="4">
        <v>45505</v>
      </c>
      <c r="R645" s="12">
        <v>1.5111469971073734</v>
      </c>
      <c r="S645" s="12">
        <v>0.41479484367341546</v>
      </c>
      <c r="T645" s="16">
        <v>0.10317829269530941</v>
      </c>
      <c r="U645" s="12">
        <v>0.45380325481094658</v>
      </c>
    </row>
    <row r="646" spans="1:21" x14ac:dyDescent="0.25">
      <c r="A646" s="4">
        <v>45536</v>
      </c>
      <c r="B646" s="10"/>
      <c r="C646" s="9">
        <v>8.3896293605956558</v>
      </c>
      <c r="D646" s="5">
        <f t="shared" si="13"/>
        <v>9</v>
      </c>
      <c r="Q646" s="4">
        <v>45536</v>
      </c>
      <c r="R646" s="12">
        <v>3.384306890279539</v>
      </c>
      <c r="S646" s="12">
        <v>0.99867160498060825</v>
      </c>
      <c r="T646" s="16">
        <v>0.23298806871686215</v>
      </c>
      <c r="U646" s="12">
        <v>0.3398353822946153</v>
      </c>
    </row>
    <row r="647" spans="1:21" x14ac:dyDescent="0.25">
      <c r="A647" s="4">
        <v>45566</v>
      </c>
      <c r="B647" s="10"/>
      <c r="C647" s="9">
        <v>157.13891521106495</v>
      </c>
      <c r="D647" s="5">
        <f t="shared" si="13"/>
        <v>10</v>
      </c>
      <c r="Q647" s="4">
        <v>45566</v>
      </c>
      <c r="R647" s="12">
        <v>195.10421169415562</v>
      </c>
      <c r="S647" s="12">
        <v>212.58637038296018</v>
      </c>
      <c r="T647" s="16">
        <v>0.99962384538182325</v>
      </c>
      <c r="U647" s="12">
        <v>208.37366419101471</v>
      </c>
    </row>
    <row r="648" spans="1:21" x14ac:dyDescent="0.25">
      <c r="A648" s="4">
        <v>45597</v>
      </c>
      <c r="B648" s="10"/>
      <c r="C648" s="9">
        <v>7.2916350084006663</v>
      </c>
      <c r="D648" s="5">
        <f t="shared" si="13"/>
        <v>11</v>
      </c>
      <c r="Q648" s="4">
        <v>45597</v>
      </c>
      <c r="R648" s="12">
        <v>7.5054950362380666</v>
      </c>
      <c r="S648" s="12">
        <v>6.9659722370998516</v>
      </c>
      <c r="T648" s="16">
        <v>0.25311622146770818</v>
      </c>
      <c r="U648" s="12">
        <v>6.8213294841794925</v>
      </c>
    </row>
    <row r="649" spans="1:21" x14ac:dyDescent="0.25">
      <c r="A649" s="4">
        <v>45627</v>
      </c>
      <c r="B649" s="10"/>
      <c r="C649" s="9">
        <v>1.4656579013837976</v>
      </c>
      <c r="D649" s="5">
        <f t="shared" si="13"/>
        <v>12</v>
      </c>
      <c r="Q649" s="4">
        <v>45627</v>
      </c>
      <c r="R649" s="12">
        <v>2.6709296212123022</v>
      </c>
      <c r="S649" s="12">
        <v>4.121263396066535</v>
      </c>
      <c r="T649" s="16">
        <v>0.16065965955976363</v>
      </c>
      <c r="U649" s="12">
        <v>5.564367452667847</v>
      </c>
    </row>
    <row r="650" spans="1:21" x14ac:dyDescent="0.25">
      <c r="A650" s="4">
        <v>45658</v>
      </c>
      <c r="B650" s="10"/>
      <c r="C650" s="9">
        <v>5.8061133810334296</v>
      </c>
      <c r="D650" s="5">
        <f t="shared" si="13"/>
        <v>1</v>
      </c>
      <c r="Q650" s="4">
        <v>45658</v>
      </c>
      <c r="R650" s="12">
        <v>9.9464566242923613</v>
      </c>
      <c r="S650" s="12">
        <v>2.5851198757115745</v>
      </c>
      <c r="T650" s="16">
        <v>0.29155050092875573</v>
      </c>
      <c r="U650" s="12">
        <v>2.6291655199735344</v>
      </c>
    </row>
    <row r="651" spans="1:21" x14ac:dyDescent="0.25">
      <c r="A651" s="4">
        <v>45689</v>
      </c>
      <c r="B651" s="10"/>
      <c r="C651" s="9">
        <v>13.993765647918003</v>
      </c>
      <c r="D651" s="5">
        <f t="shared" si="13"/>
        <v>2</v>
      </c>
      <c r="Q651" s="4">
        <v>45689</v>
      </c>
      <c r="R651" s="12">
        <v>20.053179506131979</v>
      </c>
      <c r="S651" s="12">
        <v>22.263280788698001</v>
      </c>
      <c r="T651" s="16">
        <v>0.49885508584859112</v>
      </c>
      <c r="U651" s="12">
        <v>21.582327460657755</v>
      </c>
    </row>
    <row r="652" spans="1:21" x14ac:dyDescent="0.25">
      <c r="A652" s="4">
        <v>45717</v>
      </c>
      <c r="B652" s="10"/>
      <c r="C652" s="9">
        <v>0.23738856453145976</v>
      </c>
      <c r="D652" s="5">
        <f t="shared" si="13"/>
        <v>3</v>
      </c>
      <c r="Q652" s="4">
        <v>45717</v>
      </c>
      <c r="R652" s="12">
        <v>0.26851098514659943</v>
      </c>
      <c r="S652" s="12">
        <v>3.0586246916886689E-2</v>
      </c>
      <c r="T652" s="16">
        <v>6.1948644362589365E-4</v>
      </c>
      <c r="U652" s="12">
        <v>3.9122490205298144E-3</v>
      </c>
    </row>
    <row r="653" spans="1:21" x14ac:dyDescent="0.25">
      <c r="A653" s="4">
        <v>45748</v>
      </c>
      <c r="B653" s="10"/>
      <c r="C653" s="9">
        <v>45.033367329507911</v>
      </c>
      <c r="D653" s="5">
        <f t="shared" si="13"/>
        <v>4</v>
      </c>
      <c r="Q653" s="4">
        <v>45748</v>
      </c>
      <c r="R653" s="12">
        <v>36.19241385236792</v>
      </c>
      <c r="S653" s="12">
        <v>40.590982087379977</v>
      </c>
      <c r="T653" s="16">
        <v>0.85842276082708668</v>
      </c>
      <c r="U653" s="12">
        <v>41.156004156386345</v>
      </c>
    </row>
    <row r="654" spans="1:21" x14ac:dyDescent="0.25">
      <c r="A654" s="4">
        <v>45778</v>
      </c>
      <c r="B654" s="10"/>
      <c r="C654" s="9">
        <v>132.24905879763287</v>
      </c>
      <c r="D654" s="5">
        <f t="shared" si="13"/>
        <v>5</v>
      </c>
      <c r="Q654" s="4">
        <v>45778</v>
      </c>
      <c r="R654" s="12">
        <v>58.565888853246186</v>
      </c>
      <c r="S654" s="12">
        <v>111.11561932853122</v>
      </c>
      <c r="T654" s="16">
        <v>0.99698089272865076</v>
      </c>
      <c r="U654" s="12">
        <v>94.406334983879788</v>
      </c>
    </row>
    <row r="655" spans="1:21" x14ac:dyDescent="0.25">
      <c r="A655" s="4">
        <v>45809</v>
      </c>
      <c r="B655" s="10"/>
      <c r="C655" s="9">
        <v>75.892282351359157</v>
      </c>
      <c r="D655" s="5">
        <f t="shared" si="13"/>
        <v>6</v>
      </c>
      <c r="Q655" s="4">
        <v>45809</v>
      </c>
      <c r="R655" s="12">
        <v>27.333579226535015</v>
      </c>
      <c r="S655" s="12">
        <v>36.819569159863228</v>
      </c>
      <c r="T655" s="16">
        <v>0.93021352569968652</v>
      </c>
      <c r="U655" s="12">
        <v>37.486103653819278</v>
      </c>
    </row>
    <row r="656" spans="1:21" x14ac:dyDescent="0.25">
      <c r="A656" s="4">
        <v>45839</v>
      </c>
      <c r="B656" s="10"/>
      <c r="C656" s="9">
        <v>46.75513164119603</v>
      </c>
      <c r="D656" s="5">
        <f t="shared" si="13"/>
        <v>7</v>
      </c>
      <c r="Q656" s="4">
        <v>45839</v>
      </c>
      <c r="R656" s="12">
        <v>9.5028259064196448</v>
      </c>
      <c r="S656" s="12">
        <v>6.7956581431172252</v>
      </c>
      <c r="T656" s="16">
        <v>0.59916342488575736</v>
      </c>
      <c r="U656" s="12">
        <v>7.9054766465516044</v>
      </c>
    </row>
    <row r="657" spans="1:21" x14ac:dyDescent="0.25">
      <c r="A657" s="4">
        <v>45870</v>
      </c>
      <c r="B657" s="10"/>
      <c r="C657" s="9">
        <v>22.71047640966778</v>
      </c>
      <c r="D657" s="5">
        <f t="shared" si="13"/>
        <v>8</v>
      </c>
      <c r="Q657" s="4">
        <v>45870</v>
      </c>
      <c r="R657" s="12">
        <v>7.8061699810527863</v>
      </c>
      <c r="S657" s="12">
        <v>5.4358613569138567</v>
      </c>
      <c r="T657" s="16">
        <v>0.55206523287551867</v>
      </c>
      <c r="U657" s="12">
        <v>6.3672161187784058</v>
      </c>
    </row>
    <row r="658" spans="1:21" x14ac:dyDescent="0.25">
      <c r="A658" s="4">
        <v>45901</v>
      </c>
      <c r="B658" s="10"/>
      <c r="C658" s="9">
        <v>4.7596177416216188</v>
      </c>
      <c r="D658" s="5">
        <f t="shared" si="13"/>
        <v>9</v>
      </c>
      <c r="Q658" s="4">
        <v>45901</v>
      </c>
      <c r="R658" s="12">
        <v>1.9199903149145947</v>
      </c>
      <c r="S658" s="12">
        <v>0.4024641383102901</v>
      </c>
      <c r="T658" s="16">
        <v>0.14433427730780576</v>
      </c>
      <c r="U658" s="12">
        <v>7.7004026917890364E-2</v>
      </c>
    </row>
    <row r="659" spans="1:21" x14ac:dyDescent="0.25">
      <c r="A659" s="4">
        <v>45931</v>
      </c>
      <c r="B659" s="10"/>
      <c r="C659" s="9">
        <v>29.757970979062403</v>
      </c>
      <c r="D659" s="5">
        <f t="shared" si="13"/>
        <v>10</v>
      </c>
      <c r="Q659" s="4">
        <v>45931</v>
      </c>
      <c r="R659" s="12">
        <v>36.947598000719225</v>
      </c>
      <c r="S659" s="12">
        <v>36.764419291368291</v>
      </c>
      <c r="T659" s="16">
        <v>0.73022703169946124</v>
      </c>
      <c r="U659" s="12">
        <v>36.941404972919706</v>
      </c>
    </row>
    <row r="660" spans="1:21" x14ac:dyDescent="0.25">
      <c r="A660" s="4">
        <v>45962</v>
      </c>
      <c r="B660" s="10"/>
      <c r="C660" s="9">
        <v>58.91314390471522</v>
      </c>
      <c r="D660" s="5">
        <f t="shared" si="13"/>
        <v>11</v>
      </c>
      <c r="Q660" s="4">
        <v>45962</v>
      </c>
      <c r="R660" s="12">
        <v>60.641037111236905</v>
      </c>
      <c r="S660" s="12">
        <v>60.763951252270999</v>
      </c>
      <c r="T660" s="16">
        <v>0.82057823499997506</v>
      </c>
      <c r="U660" s="12">
        <v>60.991891331783471</v>
      </c>
    </row>
    <row r="661" spans="1:21" x14ac:dyDescent="0.25">
      <c r="A661" s="4">
        <v>45992</v>
      </c>
      <c r="B661" s="10"/>
      <c r="C661" s="9">
        <v>24.446771534567514</v>
      </c>
      <c r="D661" s="5">
        <f t="shared" si="13"/>
        <v>12</v>
      </c>
      <c r="Q661" s="4">
        <v>45992</v>
      </c>
      <c r="R661" s="12">
        <v>44.550373025681779</v>
      </c>
      <c r="S661" s="12">
        <v>43.420887675347387</v>
      </c>
      <c r="T661" s="16">
        <v>0.80951709917950798</v>
      </c>
      <c r="U661" s="12">
        <v>42.801595565858463</v>
      </c>
    </row>
    <row r="662" spans="1:21" x14ac:dyDescent="0.25">
      <c r="A662" s="4">
        <v>46023</v>
      </c>
      <c r="B662" s="10"/>
      <c r="C662" s="9">
        <v>28.320120449037486</v>
      </c>
      <c r="D662" s="5">
        <f t="shared" si="13"/>
        <v>1</v>
      </c>
      <c r="Q662" s="4">
        <v>46023</v>
      </c>
      <c r="R662" s="12">
        <v>48.515216833562661</v>
      </c>
      <c r="S662" s="12">
        <v>47.329227320595976</v>
      </c>
      <c r="T662" s="16">
        <v>0.83645112024630541</v>
      </c>
      <c r="U662" s="12">
        <v>52.790889527355382</v>
      </c>
    </row>
    <row r="663" spans="1:21" x14ac:dyDescent="0.25">
      <c r="A663" s="4">
        <v>46054</v>
      </c>
      <c r="B663" s="10"/>
      <c r="C663" s="9">
        <v>61.248889903038112</v>
      </c>
      <c r="D663" s="5">
        <f t="shared" si="13"/>
        <v>2</v>
      </c>
      <c r="Q663" s="4">
        <v>46054</v>
      </c>
      <c r="R663" s="12">
        <v>87.770155273371671</v>
      </c>
      <c r="S663" s="12">
        <v>80.445563565566189</v>
      </c>
      <c r="T663" s="16">
        <v>0.95077930006540246</v>
      </c>
      <c r="U663" s="12">
        <v>81.65886732893064</v>
      </c>
    </row>
    <row r="664" spans="1:21" x14ac:dyDescent="0.25">
      <c r="A664" s="4">
        <v>46082</v>
      </c>
      <c r="B664" s="10"/>
      <c r="C664" s="9">
        <v>20.625422257342109</v>
      </c>
      <c r="D664" s="5">
        <f t="shared" si="13"/>
        <v>3</v>
      </c>
      <c r="Q664" s="4">
        <v>46082</v>
      </c>
      <c r="R664" s="12">
        <v>23.329482868369542</v>
      </c>
      <c r="S664" s="12">
        <v>19.628873026134357</v>
      </c>
      <c r="T664" s="16">
        <v>0.58155403518421445</v>
      </c>
      <c r="U664" s="12">
        <v>20.042126685228482</v>
      </c>
    </row>
    <row r="665" spans="1:21" x14ac:dyDescent="0.25">
      <c r="A665" s="4">
        <v>46113</v>
      </c>
      <c r="B665" s="10"/>
      <c r="C665" s="9">
        <v>8.9972340351164046</v>
      </c>
      <c r="D665" s="5">
        <f t="shared" si="13"/>
        <v>4</v>
      </c>
      <c r="Q665" s="4">
        <v>46113</v>
      </c>
      <c r="R665" s="12">
        <v>7.2308964893276917</v>
      </c>
      <c r="S665" s="12">
        <v>3.0210132157041079</v>
      </c>
      <c r="T665" s="16">
        <v>0.16848939608094149</v>
      </c>
      <c r="U665" s="12">
        <v>3.3449104471777882</v>
      </c>
    </row>
    <row r="666" spans="1:21" x14ac:dyDescent="0.25">
      <c r="A666" s="4">
        <v>46143</v>
      </c>
      <c r="B666" s="10"/>
      <c r="C666" s="9">
        <v>9.8086498648314429</v>
      </c>
      <c r="D666" s="5">
        <f t="shared" si="13"/>
        <v>5</v>
      </c>
      <c r="Q666" s="4">
        <v>46143</v>
      </c>
      <c r="R666" s="12">
        <v>4.3437155848734754</v>
      </c>
      <c r="S666" s="12">
        <v>1.6293457944855125</v>
      </c>
      <c r="T666" s="16">
        <v>0.10102457044787942</v>
      </c>
      <c r="U666" s="12">
        <v>1.2796706376495943</v>
      </c>
    </row>
    <row r="667" spans="1:21" x14ac:dyDescent="0.25">
      <c r="A667" s="4">
        <v>46174</v>
      </c>
      <c r="B667" s="10"/>
      <c r="C667" s="9">
        <v>19.482822876006679</v>
      </c>
      <c r="D667" s="5">
        <f t="shared" si="13"/>
        <v>6</v>
      </c>
      <c r="Q667" s="4">
        <v>46174</v>
      </c>
      <c r="R667" s="12">
        <v>7.0169886336056431</v>
      </c>
      <c r="S667" s="12">
        <v>3.2894101486818177</v>
      </c>
      <c r="T667" s="16">
        <v>0.42253991637336208</v>
      </c>
      <c r="U667" s="12">
        <v>3.194002006040515</v>
      </c>
    </row>
    <row r="668" spans="1:21" x14ac:dyDescent="0.25">
      <c r="A668" s="4">
        <v>46204</v>
      </c>
      <c r="B668" s="10"/>
      <c r="C668" s="9">
        <v>10.010736464952521</v>
      </c>
      <c r="D668" s="5">
        <f t="shared" si="13"/>
        <v>7</v>
      </c>
      <c r="Q668" s="4">
        <v>46204</v>
      </c>
      <c r="R668" s="12">
        <v>2.0346490851855745</v>
      </c>
      <c r="S668" s="12">
        <v>0.29300601819687006</v>
      </c>
      <c r="T668" s="16">
        <v>5.0372832441620649E-2</v>
      </c>
      <c r="U668" s="12">
        <v>0.22393049131542672</v>
      </c>
    </row>
    <row r="669" spans="1:21" x14ac:dyDescent="0.25">
      <c r="A669" s="4">
        <v>46235</v>
      </c>
      <c r="B669" s="10"/>
      <c r="C669" s="9">
        <v>14.024446075546088</v>
      </c>
      <c r="D669" s="5">
        <f t="shared" si="13"/>
        <v>8</v>
      </c>
      <c r="Q669" s="4">
        <v>46235</v>
      </c>
      <c r="R669" s="12">
        <v>4.8205598148182087</v>
      </c>
      <c r="S669" s="12">
        <v>2.554135942877485</v>
      </c>
      <c r="T669" s="16">
        <v>0.36433193485255122</v>
      </c>
      <c r="U669" s="12">
        <v>3.0684649192017952</v>
      </c>
    </row>
    <row r="670" spans="1:21" x14ac:dyDescent="0.25">
      <c r="A670" s="4">
        <v>46266</v>
      </c>
      <c r="B670" s="10"/>
      <c r="C670" s="9">
        <v>98.082483228260486</v>
      </c>
      <c r="D670" s="5">
        <f t="shared" si="13"/>
        <v>9</v>
      </c>
      <c r="Q670" s="4">
        <v>46266</v>
      </c>
      <c r="R670" s="12">
        <v>39.565660118930666</v>
      </c>
      <c r="S670" s="12">
        <v>51.469268335751082</v>
      </c>
      <c r="T670" s="16">
        <v>0.93721128664166831</v>
      </c>
      <c r="U670" s="12">
        <v>54.927239345827331</v>
      </c>
    </row>
    <row r="671" spans="1:21" x14ac:dyDescent="0.25">
      <c r="A671" s="4">
        <v>46296</v>
      </c>
      <c r="B671" s="10"/>
      <c r="C671" s="9">
        <v>54.829042654939379</v>
      </c>
      <c r="D671" s="5">
        <f t="shared" si="13"/>
        <v>10</v>
      </c>
      <c r="Q671" s="4">
        <v>46296</v>
      </c>
      <c r="R671" s="12">
        <v>68.075925882323546</v>
      </c>
      <c r="S671" s="12">
        <v>70.034959914517174</v>
      </c>
      <c r="T671" s="16">
        <v>0.92299761655438117</v>
      </c>
      <c r="U671" s="12">
        <v>70.147058496822282</v>
      </c>
    </row>
    <row r="672" spans="1:21" x14ac:dyDescent="0.25">
      <c r="A672" s="4">
        <v>46327</v>
      </c>
      <c r="B672" s="10"/>
      <c r="C672" s="9">
        <v>20.028388620797003</v>
      </c>
      <c r="D672" s="5">
        <f t="shared" si="13"/>
        <v>11</v>
      </c>
      <c r="Q672" s="4">
        <v>46327</v>
      </c>
      <c r="R672" s="12">
        <v>20.615811296650524</v>
      </c>
      <c r="S672" s="12">
        <v>19.856188860165517</v>
      </c>
      <c r="T672" s="16">
        <v>0.49142016374650355</v>
      </c>
      <c r="U672" s="12">
        <v>19.80266195072182</v>
      </c>
    </row>
    <row r="673" spans="1:21" x14ac:dyDescent="0.25">
      <c r="A673" s="4">
        <v>46357</v>
      </c>
      <c r="B673" s="10"/>
      <c r="C673" s="9">
        <v>2.3795563503794046</v>
      </c>
      <c r="D673" s="5">
        <f t="shared" si="13"/>
        <v>12</v>
      </c>
      <c r="Q673" s="4">
        <v>46357</v>
      </c>
      <c r="R673" s="12">
        <v>4.336364942713808</v>
      </c>
      <c r="S673" s="12">
        <v>6.1820983353272512</v>
      </c>
      <c r="T673" s="16">
        <v>0.22397167811255386</v>
      </c>
      <c r="U673" s="12">
        <v>7.7356678114926574</v>
      </c>
    </row>
    <row r="674" spans="1:21" x14ac:dyDescent="0.25">
      <c r="A674" s="4">
        <v>46388</v>
      </c>
      <c r="B674" s="10"/>
      <c r="C674" s="9">
        <v>5.308341126186785</v>
      </c>
      <c r="D674" s="5">
        <f t="shared" si="13"/>
        <v>1</v>
      </c>
      <c r="Q674" s="4">
        <v>46388</v>
      </c>
      <c r="R674" s="12">
        <v>9.0937226494819843</v>
      </c>
      <c r="S674" s="12">
        <v>2.1931201375008249</v>
      </c>
      <c r="T674" s="16">
        <v>0.26912192681445102</v>
      </c>
      <c r="U674" s="12">
        <v>2.1608073100987415</v>
      </c>
    </row>
    <row r="675" spans="1:21" x14ac:dyDescent="0.25">
      <c r="A675" s="4">
        <v>46419</v>
      </c>
      <c r="B675" s="10"/>
      <c r="C675" s="9">
        <v>25.712677206464271</v>
      </c>
      <c r="D675" s="5">
        <f t="shared" si="13"/>
        <v>2</v>
      </c>
      <c r="Q675" s="4">
        <v>46419</v>
      </c>
      <c r="R675" s="12">
        <v>36.84647467861307</v>
      </c>
      <c r="S675" s="12">
        <v>37.800336108348844</v>
      </c>
      <c r="T675" s="16">
        <v>0.71831148682343571</v>
      </c>
      <c r="U675" s="12">
        <v>37.043796753112289</v>
      </c>
    </row>
    <row r="676" spans="1:21" x14ac:dyDescent="0.25">
      <c r="A676" s="4">
        <v>46447</v>
      </c>
      <c r="B676" s="10"/>
      <c r="C676" s="9">
        <v>13.015650611949539</v>
      </c>
      <c r="D676" s="5">
        <f t="shared" si="13"/>
        <v>3</v>
      </c>
      <c r="Q676" s="4">
        <v>46447</v>
      </c>
      <c r="R676" s="12">
        <v>14.722045162690886</v>
      </c>
      <c r="S676" s="12">
        <v>10.078812402313778</v>
      </c>
      <c r="T676" s="16">
        <v>0.36498520374957938</v>
      </c>
      <c r="U676" s="12">
        <v>9.6157469927094859</v>
      </c>
    </row>
    <row r="677" spans="1:21" x14ac:dyDescent="0.25">
      <c r="A677" s="4">
        <v>46478</v>
      </c>
      <c r="B677" s="10"/>
      <c r="C677" s="9">
        <v>8.3475447744829552</v>
      </c>
      <c r="D677" s="5">
        <f t="shared" si="13"/>
        <v>4</v>
      </c>
      <c r="Q677" s="4">
        <v>46478</v>
      </c>
      <c r="R677" s="12">
        <v>6.7087542647803966</v>
      </c>
      <c r="S677" s="12">
        <v>2.6769744533602413</v>
      </c>
      <c r="T677" s="16">
        <v>0.15083479737517125</v>
      </c>
      <c r="U677" s="12">
        <v>2.9352336579182232</v>
      </c>
    </row>
    <row r="678" spans="1:21" x14ac:dyDescent="0.25">
      <c r="A678" s="4">
        <v>46508</v>
      </c>
      <c r="B678" s="10"/>
      <c r="C678" s="9">
        <v>17.201733618949092</v>
      </c>
      <c r="D678" s="5">
        <f t="shared" si="13"/>
        <v>5</v>
      </c>
      <c r="Q678" s="4">
        <v>46508</v>
      </c>
      <c r="R678" s="12">
        <v>7.6177088016338521</v>
      </c>
      <c r="S678" s="12">
        <v>4.055009252040489</v>
      </c>
      <c r="T678" s="16">
        <v>0.25197734991340559</v>
      </c>
      <c r="U678" s="12">
        <v>3.876239774682718</v>
      </c>
    </row>
    <row r="679" spans="1:21" x14ac:dyDescent="0.25">
      <c r="A679" s="4">
        <v>46539</v>
      </c>
      <c r="B679" s="10"/>
      <c r="C679" s="9">
        <v>6.1809238309984265</v>
      </c>
      <c r="D679" s="5">
        <f t="shared" si="13"/>
        <v>6</v>
      </c>
      <c r="Q679" s="4">
        <v>46539</v>
      </c>
      <c r="R679" s="12">
        <v>2.226139022220988</v>
      </c>
      <c r="S679" s="12">
        <v>0.42803495345750414</v>
      </c>
      <c r="T679" s="16">
        <v>0.12475369492448468</v>
      </c>
      <c r="U679" s="12">
        <v>0.21621628780600041</v>
      </c>
    </row>
    <row r="680" spans="1:21" x14ac:dyDescent="0.25">
      <c r="A680" s="4">
        <v>46569</v>
      </c>
      <c r="B680" s="10"/>
      <c r="C680" s="9">
        <v>20.9646350022254</v>
      </c>
      <c r="D680" s="5">
        <f t="shared" si="13"/>
        <v>7</v>
      </c>
      <c r="Q680" s="4">
        <v>46569</v>
      </c>
      <c r="R680" s="12">
        <v>4.2609927429279999</v>
      </c>
      <c r="S680" s="12">
        <v>1.3233962430103638</v>
      </c>
      <c r="T680" s="16">
        <v>0.2010129470342121</v>
      </c>
      <c r="U680" s="12">
        <v>1.4399017655835709</v>
      </c>
    </row>
    <row r="681" spans="1:21" x14ac:dyDescent="0.25">
      <c r="A681" s="4">
        <v>46600</v>
      </c>
      <c r="B681" s="10"/>
      <c r="C681" s="9">
        <v>18.565509127031699</v>
      </c>
      <c r="D681" s="5">
        <f t="shared" si="13"/>
        <v>8</v>
      </c>
      <c r="Q681" s="4">
        <v>46600</v>
      </c>
      <c r="R681" s="12">
        <v>6.3814390070963904</v>
      </c>
      <c r="S681" s="12">
        <v>3.9639723825459421</v>
      </c>
      <c r="T681" s="16">
        <v>0.46910240513372908</v>
      </c>
      <c r="U681" s="12">
        <v>4.7167136485600478</v>
      </c>
    </row>
    <row r="682" spans="1:21" x14ac:dyDescent="0.25">
      <c r="A682" s="4">
        <v>46631</v>
      </c>
      <c r="B682" s="10"/>
      <c r="C682" s="9">
        <v>15.316302828519747</v>
      </c>
      <c r="D682" s="5">
        <f t="shared" si="13"/>
        <v>9</v>
      </c>
      <c r="Q682" s="4">
        <v>46631</v>
      </c>
      <c r="R682" s="12">
        <v>6.1784695089899815</v>
      </c>
      <c r="S682" s="12">
        <v>2.6215242582711058</v>
      </c>
      <c r="T682" s="16">
        <v>0.37369555767516949</v>
      </c>
      <c r="U682" s="12">
        <v>1.4933429871922257</v>
      </c>
    </row>
    <row r="683" spans="1:21" x14ac:dyDescent="0.25">
      <c r="A683" s="4">
        <v>46661</v>
      </c>
      <c r="B683" s="10"/>
      <c r="C683" s="9">
        <v>15.385805716543167</v>
      </c>
      <c r="D683" s="5">
        <f t="shared" si="13"/>
        <v>10</v>
      </c>
      <c r="Q683" s="4">
        <v>46661</v>
      </c>
      <c r="R683" s="12">
        <v>19.103068718360436</v>
      </c>
      <c r="S683" s="12">
        <v>18.336438393628672</v>
      </c>
      <c r="T683" s="16">
        <v>0.46410523720024083</v>
      </c>
      <c r="U683" s="12">
        <v>18.336640315903196</v>
      </c>
    </row>
    <row r="684" spans="1:21" x14ac:dyDescent="0.25">
      <c r="A684" s="4">
        <v>46692</v>
      </c>
      <c r="B684" s="10"/>
      <c r="C684" s="9">
        <v>4.1221223311949142</v>
      </c>
      <c r="D684" s="5">
        <f t="shared" si="13"/>
        <v>11</v>
      </c>
      <c r="Q684" s="4">
        <v>46692</v>
      </c>
      <c r="R684" s="12">
        <v>4.2430221287688292</v>
      </c>
      <c r="S684" s="12">
        <v>3.8565018225116652</v>
      </c>
      <c r="T684" s="16">
        <v>0.16772130627929213</v>
      </c>
      <c r="U684" s="12">
        <v>3.7229635210920526</v>
      </c>
    </row>
    <row r="685" spans="1:21" x14ac:dyDescent="0.25">
      <c r="A685" s="4">
        <v>46722</v>
      </c>
      <c r="B685" s="10"/>
      <c r="C685" s="9">
        <v>3.5951562808462785</v>
      </c>
      <c r="D685" s="5">
        <f t="shared" si="13"/>
        <v>12</v>
      </c>
      <c r="Q685" s="4">
        <v>46722</v>
      </c>
      <c r="R685" s="12">
        <v>6.5516034774101692</v>
      </c>
      <c r="S685" s="12">
        <v>8.7317238439870781</v>
      </c>
      <c r="T685" s="16">
        <v>0.29460986302356423</v>
      </c>
      <c r="U685" s="12">
        <v>10.298345089522586</v>
      </c>
    </row>
    <row r="686" spans="1:21" x14ac:dyDescent="0.25">
      <c r="A686" s="4">
        <v>46753</v>
      </c>
      <c r="B686" s="10"/>
      <c r="C686" s="9">
        <v>20.976259589801959</v>
      </c>
      <c r="D686" s="5">
        <f t="shared" si="13"/>
        <v>1</v>
      </c>
      <c r="Q686" s="4">
        <v>46753</v>
      </c>
      <c r="R686" s="12">
        <v>35.934444000252391</v>
      </c>
      <c r="S686" s="12">
        <v>27.286433389411609</v>
      </c>
      <c r="T686" s="16">
        <v>0.73443240713277835</v>
      </c>
      <c r="U686" s="12">
        <v>32.143110568491352</v>
      </c>
    </row>
    <row r="687" spans="1:21" x14ac:dyDescent="0.25">
      <c r="A687" s="4">
        <v>46784</v>
      </c>
      <c r="B687" s="10"/>
      <c r="C687" s="9">
        <v>9.7723339667755571</v>
      </c>
      <c r="D687" s="5">
        <f t="shared" si="13"/>
        <v>2</v>
      </c>
      <c r="Q687" s="4">
        <v>46784</v>
      </c>
      <c r="R687" s="12">
        <v>14.003833718537152</v>
      </c>
      <c r="S687" s="12">
        <v>16.289213818433911</v>
      </c>
      <c r="T687" s="16">
        <v>0.38311898187516358</v>
      </c>
      <c r="U687" s="12">
        <v>15.767919338544027</v>
      </c>
    </row>
    <row r="688" spans="1:21" x14ac:dyDescent="0.25">
      <c r="A688" s="4">
        <v>46813</v>
      </c>
      <c r="B688" s="10"/>
      <c r="C688" s="9">
        <v>17.886928128509666</v>
      </c>
      <c r="D688" s="5">
        <f t="shared" si="13"/>
        <v>3</v>
      </c>
      <c r="Q688" s="4">
        <v>46813</v>
      </c>
      <c r="R688" s="12">
        <v>20.231963163482789</v>
      </c>
      <c r="S688" s="12">
        <v>15.970512601212022</v>
      </c>
      <c r="T688" s="16">
        <v>0.51064142882148622</v>
      </c>
      <c r="U688" s="12">
        <v>16.056325870967136</v>
      </c>
    </row>
    <row r="689" spans="1:21" x14ac:dyDescent="0.25">
      <c r="A689" s="4">
        <v>46844</v>
      </c>
      <c r="B689" s="10"/>
      <c r="C689" s="9">
        <v>21.679896824312124</v>
      </c>
      <c r="D689" s="5">
        <f t="shared" si="13"/>
        <v>4</v>
      </c>
      <c r="Q689" s="4">
        <v>46844</v>
      </c>
      <c r="R689" s="12">
        <v>17.423698130341776</v>
      </c>
      <c r="S689" s="12">
        <v>12.482216800051042</v>
      </c>
      <c r="T689" s="16">
        <v>0.50807574169296721</v>
      </c>
      <c r="U689" s="12">
        <v>14.159780282768711</v>
      </c>
    </row>
    <row r="690" spans="1:21" x14ac:dyDescent="0.25">
      <c r="A690" s="4">
        <v>46874</v>
      </c>
      <c r="B690" s="10"/>
      <c r="C690" s="9">
        <v>13.465779985863913</v>
      </c>
      <c r="D690" s="5">
        <f t="shared" si="13"/>
        <v>5</v>
      </c>
      <c r="Q690" s="4">
        <v>46874</v>
      </c>
      <c r="R690" s="12">
        <v>5.9632588779413584</v>
      </c>
      <c r="S690" s="12">
        <v>2.7251428147274113</v>
      </c>
      <c r="T690" s="16">
        <v>0.17241279729461498</v>
      </c>
      <c r="U690" s="12">
        <v>2.4196742484831444</v>
      </c>
    </row>
    <row r="691" spans="1:21" x14ac:dyDescent="0.25">
      <c r="A691" s="4">
        <v>46905</v>
      </c>
      <c r="B691" s="10"/>
      <c r="C691" s="9">
        <v>23.582732890823959</v>
      </c>
      <c r="D691" s="5">
        <f t="shared" si="13"/>
        <v>6</v>
      </c>
      <c r="Q691" s="4">
        <v>46905</v>
      </c>
      <c r="R691" s="12">
        <v>8.4936238294328437</v>
      </c>
      <c r="S691" s="12">
        <v>4.6179022473871196</v>
      </c>
      <c r="T691" s="16">
        <v>0.49848112912998149</v>
      </c>
      <c r="U691" s="12">
        <v>4.7446666608187256</v>
      </c>
    </row>
    <row r="692" spans="1:21" x14ac:dyDescent="0.25">
      <c r="A692" s="4">
        <v>46935</v>
      </c>
      <c r="B692" s="10"/>
      <c r="C692" s="9">
        <v>95.060921202172622</v>
      </c>
      <c r="D692" s="5">
        <f t="shared" si="13"/>
        <v>7</v>
      </c>
      <c r="Q692" s="4">
        <v>46935</v>
      </c>
      <c r="R692" s="12">
        <v>19.320817907657894</v>
      </c>
      <c r="S692" s="12">
        <v>28.895928697033973</v>
      </c>
      <c r="T692" s="16">
        <v>0.93179820372978761</v>
      </c>
      <c r="U692" s="12">
        <v>27.119181320176313</v>
      </c>
    </row>
    <row r="693" spans="1:21" x14ac:dyDescent="0.25">
      <c r="A693" s="4">
        <v>46966</v>
      </c>
      <c r="B693" s="10"/>
      <c r="C693" s="9">
        <v>46.527881869745059</v>
      </c>
      <c r="D693" s="5">
        <f t="shared" si="13"/>
        <v>8</v>
      </c>
      <c r="Q693" s="4">
        <v>46966</v>
      </c>
      <c r="R693" s="12">
        <v>15.992819709363692</v>
      </c>
      <c r="S693" s="12">
        <v>16.724392068800196</v>
      </c>
      <c r="T693" s="16">
        <v>0.84058315654841986</v>
      </c>
      <c r="U693" s="12">
        <v>17.436739318507954</v>
      </c>
    </row>
    <row r="694" spans="1:21" x14ac:dyDescent="0.25">
      <c r="A694" s="4">
        <v>46997</v>
      </c>
      <c r="B694" s="10"/>
      <c r="C694" s="9">
        <v>83.147078338261451</v>
      </c>
      <c r="D694" s="5">
        <f t="shared" si="13"/>
        <v>9</v>
      </c>
      <c r="Q694" s="4">
        <v>46997</v>
      </c>
      <c r="R694" s="12">
        <v>33.540841678709398</v>
      </c>
      <c r="S694" s="12">
        <v>39.492732161464431</v>
      </c>
      <c r="T694" s="16">
        <v>0.9054707879918179</v>
      </c>
      <c r="U694" s="12">
        <v>42.371726754661111</v>
      </c>
    </row>
    <row r="695" spans="1:21" x14ac:dyDescent="0.25">
      <c r="A695" s="4">
        <v>47027</v>
      </c>
      <c r="B695" s="10"/>
      <c r="C695" s="9">
        <v>24.088751164532056</v>
      </c>
      <c r="D695" s="5">
        <f t="shared" si="13"/>
        <v>10</v>
      </c>
      <c r="Q695" s="4">
        <v>47027</v>
      </c>
      <c r="R695" s="12">
        <v>29.908675392979688</v>
      </c>
      <c r="S695" s="12">
        <v>29.419205945245373</v>
      </c>
      <c r="T695" s="16">
        <v>0.64476128003424726</v>
      </c>
      <c r="U695" s="12">
        <v>29.542852742671585</v>
      </c>
    </row>
    <row r="696" spans="1:21" x14ac:dyDescent="0.25">
      <c r="A696" s="4">
        <v>47058</v>
      </c>
      <c r="B696" s="10"/>
      <c r="C696" s="9">
        <v>14.464559590609566</v>
      </c>
      <c r="D696" s="5">
        <f t="shared" si="13"/>
        <v>11</v>
      </c>
      <c r="Q696" s="4">
        <v>47058</v>
      </c>
      <c r="R696" s="12">
        <v>14.888797928532352</v>
      </c>
      <c r="S696" s="12">
        <v>14.170058748604765</v>
      </c>
      <c r="T696" s="16">
        <v>0.40204932864392895</v>
      </c>
      <c r="U696" s="12">
        <v>14.064934188536611</v>
      </c>
    </row>
    <row r="697" spans="1:21" x14ac:dyDescent="0.25">
      <c r="A697" s="4">
        <v>47088</v>
      </c>
      <c r="B697" s="10"/>
      <c r="C697" s="9">
        <v>28.450564096082363</v>
      </c>
      <c r="D697" s="5">
        <f t="shared" si="13"/>
        <v>12</v>
      </c>
      <c r="Q697" s="4">
        <v>47088</v>
      </c>
      <c r="R697" s="12">
        <v>51.846651468040612</v>
      </c>
      <c r="S697" s="12">
        <v>49.296375179672658</v>
      </c>
      <c r="T697" s="16">
        <v>0.84861929602389263</v>
      </c>
      <c r="U697" s="12">
        <v>48.310081709758371</v>
      </c>
    </row>
    <row r="698" spans="1:21" x14ac:dyDescent="0.25">
      <c r="A698" s="4">
        <v>47119</v>
      </c>
      <c r="B698" s="10"/>
      <c r="C698" s="9">
        <v>0.37152721791679105</v>
      </c>
      <c r="D698" s="5">
        <f t="shared" si="13"/>
        <v>1</v>
      </c>
      <c r="Q698" s="4">
        <v>47119</v>
      </c>
      <c r="R698" s="12">
        <v>0.63646351961105485</v>
      </c>
      <c r="S698" s="12">
        <v>1.6674701006179717E-2</v>
      </c>
      <c r="T698" s="16">
        <v>1.8137605429747575E-2</v>
      </c>
      <c r="U698" s="12">
        <v>3.3693897040388294E-3</v>
      </c>
    </row>
    <row r="699" spans="1:21" x14ac:dyDescent="0.25">
      <c r="A699" s="4">
        <v>47150</v>
      </c>
      <c r="B699" s="10"/>
      <c r="C699" s="9">
        <v>17.110508611682491</v>
      </c>
      <c r="D699" s="5">
        <f t="shared" si="13"/>
        <v>2</v>
      </c>
      <c r="Q699" s="4">
        <v>47150</v>
      </c>
      <c r="R699" s="12">
        <v>24.51949741507466</v>
      </c>
      <c r="S699" s="12">
        <v>26.52030435317765</v>
      </c>
      <c r="T699" s="16">
        <v>0.57008068102426468</v>
      </c>
      <c r="U699" s="12">
        <v>25.770370215981583</v>
      </c>
    </row>
    <row r="700" spans="1:21" x14ac:dyDescent="0.25">
      <c r="A700" s="4">
        <v>47178</v>
      </c>
      <c r="B700" s="10"/>
      <c r="C700" s="9">
        <v>38.406842789072478</v>
      </c>
      <c r="D700" s="5">
        <f t="shared" si="13"/>
        <v>3</v>
      </c>
      <c r="Q700" s="4">
        <v>47178</v>
      </c>
      <c r="R700" s="12">
        <v>43.442106042550087</v>
      </c>
      <c r="S700" s="12">
        <v>48.287310642610421</v>
      </c>
      <c r="T700" s="16">
        <v>0.86382373934515322</v>
      </c>
      <c r="U700" s="12">
        <v>49.860590031143872</v>
      </c>
    </row>
    <row r="701" spans="1:21" x14ac:dyDescent="0.25">
      <c r="A701" s="4">
        <v>47209</v>
      </c>
      <c r="B701" s="10"/>
      <c r="C701" s="9">
        <v>28.171483171909237</v>
      </c>
      <c r="D701" s="5">
        <f t="shared" si="13"/>
        <v>4</v>
      </c>
      <c r="Q701" s="4">
        <v>47209</v>
      </c>
      <c r="R701" s="12">
        <v>22.640855842122946</v>
      </c>
      <c r="S701" s="12">
        <v>19.045456231919431</v>
      </c>
      <c r="T701" s="16">
        <v>0.64346475516662605</v>
      </c>
      <c r="U701" s="12">
        <v>21.037792582445601</v>
      </c>
    </row>
    <row r="702" spans="1:21" x14ac:dyDescent="0.25">
      <c r="A702" s="4">
        <v>47239</v>
      </c>
      <c r="B702" s="10"/>
      <c r="C702" s="9">
        <v>13.865237197417729</v>
      </c>
      <c r="D702" s="5">
        <f t="shared" si="13"/>
        <v>5</v>
      </c>
      <c r="Q702" s="4">
        <v>47239</v>
      </c>
      <c r="R702" s="12">
        <v>6.1401566711368982</v>
      </c>
      <c r="S702" s="12">
        <v>2.8575636995161089</v>
      </c>
      <c r="T702" s="16">
        <v>0.18070758181890428</v>
      </c>
      <c r="U702" s="12">
        <v>2.56225500176429</v>
      </c>
    </row>
    <row r="703" spans="1:21" x14ac:dyDescent="0.25">
      <c r="A703" s="4">
        <v>47270</v>
      </c>
      <c r="B703" s="10"/>
      <c r="C703" s="9">
        <v>156.99151666157522</v>
      </c>
      <c r="D703" s="5">
        <f t="shared" si="13"/>
        <v>6</v>
      </c>
      <c r="Q703" s="4">
        <v>47270</v>
      </c>
      <c r="R703" s="12">
        <v>56.542509008970498</v>
      </c>
      <c r="S703" s="12">
        <v>133.90747036774002</v>
      </c>
      <c r="T703" s="16">
        <v>0.99732613491488076</v>
      </c>
      <c r="U703" s="12">
        <v>105.19963404176009</v>
      </c>
    </row>
    <row r="704" spans="1:21" x14ac:dyDescent="0.25">
      <c r="A704" s="4">
        <v>47300</v>
      </c>
      <c r="B704" s="10"/>
      <c r="C704" s="9">
        <v>15.984367650942866</v>
      </c>
      <c r="D704" s="5">
        <f t="shared" si="13"/>
        <v>7</v>
      </c>
      <c r="Q704" s="4">
        <v>47300</v>
      </c>
      <c r="R704" s="12">
        <v>3.2487698714397282</v>
      </c>
      <c r="S704" s="12">
        <v>0.76106234530274353</v>
      </c>
      <c r="T704" s="16">
        <v>0.12479833762536628</v>
      </c>
      <c r="U704" s="12">
        <v>0.74916899246053992</v>
      </c>
    </row>
    <row r="705" spans="1:21" x14ac:dyDescent="0.25">
      <c r="A705" s="4">
        <v>47331</v>
      </c>
      <c r="B705" s="10"/>
      <c r="C705" s="9">
        <v>50.615167340364216</v>
      </c>
      <c r="D705" s="5">
        <f t="shared" si="13"/>
        <v>8</v>
      </c>
      <c r="Q705" s="4">
        <v>47331</v>
      </c>
      <c r="R705" s="12">
        <v>17.397723973334049</v>
      </c>
      <c r="S705" s="12">
        <v>19.083116822944596</v>
      </c>
      <c r="T705" s="16">
        <v>0.86727914640205583</v>
      </c>
      <c r="U705" s="12">
        <v>19.50826157999467</v>
      </c>
    </row>
    <row r="706" spans="1:21" x14ac:dyDescent="0.25">
      <c r="A706" s="4">
        <v>47362</v>
      </c>
      <c r="B706" s="10"/>
      <c r="C706" s="9">
        <v>46.326881287949668</v>
      </c>
      <c r="D706" s="5">
        <f t="shared" si="13"/>
        <v>9</v>
      </c>
      <c r="Q706" s="4">
        <v>47362</v>
      </c>
      <c r="R706" s="12">
        <v>18.687879620088339</v>
      </c>
      <c r="S706" s="12">
        <v>15.461310379202956</v>
      </c>
      <c r="T706" s="16">
        <v>0.73888923785720162</v>
      </c>
      <c r="U706" s="12">
        <v>15.452077445474655</v>
      </c>
    </row>
    <row r="707" spans="1:21" x14ac:dyDescent="0.25">
      <c r="A707" s="4">
        <v>47392</v>
      </c>
      <c r="B707" s="10"/>
      <c r="C707" s="9">
        <v>16.231044147568294</v>
      </c>
      <c r="D707" s="5">
        <f t="shared" ref="D707:D770" si="14">MONTH(A707)</f>
        <v>10</v>
      </c>
      <c r="Q707" s="4">
        <v>47392</v>
      </c>
      <c r="R707" s="12">
        <v>20.15251962972291</v>
      </c>
      <c r="S707" s="12">
        <v>19.400295767497074</v>
      </c>
      <c r="T707" s="16">
        <v>0.48466563933335299</v>
      </c>
      <c r="U707" s="12">
        <v>19.414125498274764</v>
      </c>
    </row>
    <row r="708" spans="1:21" x14ac:dyDescent="0.25">
      <c r="A708" s="4">
        <v>47423</v>
      </c>
      <c r="B708" s="10"/>
      <c r="C708" s="9">
        <v>56.159802088589771</v>
      </c>
      <c r="D708" s="5">
        <f t="shared" si="14"/>
        <v>11</v>
      </c>
      <c r="Q708" s="4">
        <v>47423</v>
      </c>
      <c r="R708" s="12">
        <v>57.806941149194373</v>
      </c>
      <c r="S708" s="12">
        <v>57.822525864332228</v>
      </c>
      <c r="T708" s="16">
        <v>0.80735850700038181</v>
      </c>
      <c r="U708" s="12">
        <v>58.041573195195383</v>
      </c>
    </row>
    <row r="709" spans="1:21" x14ac:dyDescent="0.25">
      <c r="A709" s="4">
        <v>47453</v>
      </c>
      <c r="B709" s="10"/>
      <c r="C709" s="9">
        <v>2.7705079055144899</v>
      </c>
      <c r="D709" s="5">
        <f t="shared" si="14"/>
        <v>12</v>
      </c>
      <c r="Q709" s="4">
        <v>47453</v>
      </c>
      <c r="R709" s="12">
        <v>5.0488122935474715</v>
      </c>
      <c r="S709" s="12">
        <v>7.0212518949587182</v>
      </c>
      <c r="T709" s="16">
        <v>0.24806818371266751</v>
      </c>
      <c r="U709" s="12">
        <v>8.5905743692639298</v>
      </c>
    </row>
    <row r="710" spans="1:21" x14ac:dyDescent="0.25">
      <c r="A710" s="4">
        <v>47484</v>
      </c>
      <c r="B710" s="10"/>
      <c r="C710" s="9">
        <v>18.443761067716853</v>
      </c>
      <c r="D710" s="5">
        <f t="shared" si="14"/>
        <v>1</v>
      </c>
      <c r="Q710" s="4">
        <v>47484</v>
      </c>
      <c r="R710" s="12">
        <v>31.596019128411438</v>
      </c>
      <c r="S710" s="12">
        <v>21.549000876752871</v>
      </c>
      <c r="T710" s="16">
        <v>0.68640897139687995</v>
      </c>
      <c r="U710" s="12">
        <v>25.722342090035255</v>
      </c>
    </row>
    <row r="711" spans="1:21" x14ac:dyDescent="0.25">
      <c r="A711" s="4">
        <v>47515</v>
      </c>
      <c r="B711" s="10"/>
      <c r="C711" s="9">
        <v>18.987291710942369</v>
      </c>
      <c r="D711" s="5">
        <f t="shared" si="14"/>
        <v>2</v>
      </c>
      <c r="Q711" s="4">
        <v>47515</v>
      </c>
      <c r="R711" s="12">
        <v>27.20894279599916</v>
      </c>
      <c r="S711" s="12">
        <v>29.034187995659416</v>
      </c>
      <c r="T711" s="16">
        <v>0.60797690809551685</v>
      </c>
      <c r="U711" s="12">
        <v>28.260928092534783</v>
      </c>
    </row>
    <row r="712" spans="1:21" x14ac:dyDescent="0.25">
      <c r="A712" s="4">
        <v>47543</v>
      </c>
      <c r="B712" s="10"/>
      <c r="C712" s="9">
        <v>11.396895125958759</v>
      </c>
      <c r="D712" s="5">
        <f t="shared" si="14"/>
        <v>3</v>
      </c>
      <c r="Q712" s="4">
        <v>47543</v>
      </c>
      <c r="R712" s="12">
        <v>12.891065514986565</v>
      </c>
      <c r="S712" s="12">
        <v>8.315650867151227</v>
      </c>
      <c r="T712" s="16">
        <v>0.31202756110653057</v>
      </c>
      <c r="U712" s="12">
        <v>7.7058280744299852</v>
      </c>
    </row>
    <row r="713" spans="1:21" x14ac:dyDescent="0.25">
      <c r="A713" s="4">
        <v>47574</v>
      </c>
      <c r="B713" s="10"/>
      <c r="C713" s="9">
        <v>37.541727706660808</v>
      </c>
      <c r="D713" s="5">
        <f t="shared" si="14"/>
        <v>4</v>
      </c>
      <c r="Q713" s="4">
        <v>47574</v>
      </c>
      <c r="R713" s="12">
        <v>30.171533386580141</v>
      </c>
      <c r="S713" s="12">
        <v>30.266228592851196</v>
      </c>
      <c r="T713" s="16">
        <v>0.78398060664812064</v>
      </c>
      <c r="U713" s="12">
        <v>31.902843972499049</v>
      </c>
    </row>
    <row r="714" spans="1:21" x14ac:dyDescent="0.25">
      <c r="A714" s="4">
        <v>47604</v>
      </c>
      <c r="B714" s="10"/>
      <c r="C714" s="9">
        <v>6.7509752951195594</v>
      </c>
      <c r="D714" s="5">
        <f t="shared" si="14"/>
        <v>5</v>
      </c>
      <c r="Q714" s="4">
        <v>47604</v>
      </c>
      <c r="R714" s="12">
        <v>2.9896384320586171</v>
      </c>
      <c r="S714" s="12">
        <v>0.88853719240323747</v>
      </c>
      <c r="T714" s="16">
        <v>5.1259509203041086E-2</v>
      </c>
      <c r="U714" s="12">
        <v>0.5830975499402884</v>
      </c>
    </row>
    <row r="715" spans="1:21" x14ac:dyDescent="0.25">
      <c r="A715" s="4">
        <v>47635</v>
      </c>
      <c r="B715" s="10"/>
      <c r="C715" s="9">
        <v>19.020899297893518</v>
      </c>
      <c r="D715" s="5">
        <f t="shared" si="14"/>
        <v>6</v>
      </c>
      <c r="Q715" s="4">
        <v>47635</v>
      </c>
      <c r="R715" s="12">
        <v>6.85062093022698</v>
      </c>
      <c r="S715" s="12">
        <v>3.1521578014646301</v>
      </c>
      <c r="T715" s="16">
        <v>0.41344599027265339</v>
      </c>
      <c r="U715" s="12">
        <v>3.0355077603911771</v>
      </c>
    </row>
    <row r="716" spans="1:21" x14ac:dyDescent="0.25">
      <c r="A716" s="4">
        <v>47665</v>
      </c>
      <c r="B716" s="10"/>
      <c r="C716" s="9">
        <v>0.52364889891216659</v>
      </c>
      <c r="D716" s="5">
        <f t="shared" si="14"/>
        <v>7</v>
      </c>
      <c r="Q716" s="4">
        <v>47665</v>
      </c>
      <c r="R716" s="12">
        <v>0.10642990721613473</v>
      </c>
      <c r="S716" s="12">
        <v>7.1293092365874321E-4</v>
      </c>
      <c r="T716" s="16">
        <v>6.2246707125041966E-5</v>
      </c>
      <c r="U716" s="12">
        <v>3.5695194717823506E-5</v>
      </c>
    </row>
    <row r="717" spans="1:21" x14ac:dyDescent="0.25">
      <c r="A717" s="4">
        <v>47696</v>
      </c>
      <c r="B717" s="10"/>
      <c r="C717" s="9">
        <v>7.3639258213358101</v>
      </c>
      <c r="D717" s="5">
        <f t="shared" si="14"/>
        <v>8</v>
      </c>
      <c r="Q717" s="4">
        <v>47696</v>
      </c>
      <c r="R717" s="12">
        <v>2.5311691244284198</v>
      </c>
      <c r="S717" s="12">
        <v>0.93078825011908306</v>
      </c>
      <c r="T717" s="16">
        <v>0.18683275830864196</v>
      </c>
      <c r="U717" s="12">
        <v>1.0871046509016993</v>
      </c>
    </row>
    <row r="718" spans="1:21" x14ac:dyDescent="0.25">
      <c r="A718" s="4">
        <v>47727</v>
      </c>
      <c r="B718" s="10"/>
      <c r="C718" s="9">
        <v>36.485116732783993</v>
      </c>
      <c r="D718" s="5">
        <f t="shared" si="14"/>
        <v>9</v>
      </c>
      <c r="Q718" s="4">
        <v>47727</v>
      </c>
      <c r="R718" s="12">
        <v>14.717793438093842</v>
      </c>
      <c r="S718" s="12">
        <v>10.54270577344383</v>
      </c>
      <c r="T718" s="16">
        <v>0.65638615597198946</v>
      </c>
      <c r="U718" s="12">
        <v>9.7918283108675883</v>
      </c>
    </row>
    <row r="719" spans="1:21" x14ac:dyDescent="0.25">
      <c r="A719" s="4">
        <v>47757</v>
      </c>
      <c r="B719" s="10"/>
      <c r="C719" s="9">
        <v>29.486958351819737</v>
      </c>
      <c r="D719" s="5">
        <f t="shared" si="14"/>
        <v>10</v>
      </c>
      <c r="Q719" s="4">
        <v>47757</v>
      </c>
      <c r="R719" s="12">
        <v>36.61110780078166</v>
      </c>
      <c r="S719" s="12">
        <v>36.411418434086066</v>
      </c>
      <c r="T719" s="16">
        <v>0.72662747042530595</v>
      </c>
      <c r="U719" s="12">
        <v>36.586411903168774</v>
      </c>
    </row>
    <row r="720" spans="1:21" x14ac:dyDescent="0.25">
      <c r="A720" s="4">
        <v>47788</v>
      </c>
      <c r="B720" s="10"/>
      <c r="C720" s="9">
        <v>58.812274117172443</v>
      </c>
      <c r="D720" s="5">
        <f t="shared" si="14"/>
        <v>11</v>
      </c>
      <c r="Q720" s="4">
        <v>47788</v>
      </c>
      <c r="R720" s="12">
        <v>60.537208862999506</v>
      </c>
      <c r="S720" s="12">
        <v>60.65610048688643</v>
      </c>
      <c r="T720" s="16">
        <v>0.8201111217988617</v>
      </c>
      <c r="U720" s="12">
        <v>60.883748570270356</v>
      </c>
    </row>
    <row r="721" spans="1:21" x14ac:dyDescent="0.25">
      <c r="A721" s="4">
        <v>47818</v>
      </c>
      <c r="B721" s="10"/>
      <c r="C721" s="9">
        <v>0.72550456336779712</v>
      </c>
      <c r="D721" s="5">
        <f t="shared" si="14"/>
        <v>12</v>
      </c>
      <c r="Q721" s="4">
        <v>47818</v>
      </c>
      <c r="R721" s="12">
        <v>1.3221172736108504</v>
      </c>
      <c r="S721" s="12">
        <v>2.28819370190396</v>
      </c>
      <c r="T721" s="16">
        <v>9.8021577141556737E-2</v>
      </c>
      <c r="U721" s="12">
        <v>3.4845392874413812</v>
      </c>
    </row>
    <row r="722" spans="1:21" x14ac:dyDescent="0.25">
      <c r="A722" s="4">
        <v>47849</v>
      </c>
      <c r="B722" s="10"/>
      <c r="C722" s="9">
        <v>4.0633255881401187</v>
      </c>
      <c r="D722" s="5">
        <f t="shared" si="14"/>
        <v>1</v>
      </c>
      <c r="Q722" s="4">
        <v>47849</v>
      </c>
      <c r="R722" s="12">
        <v>6.9608857182908395</v>
      </c>
      <c r="S722" s="12">
        <v>1.3430654190251785</v>
      </c>
      <c r="T722" s="16">
        <v>0.2103788695007737</v>
      </c>
      <c r="U722" s="12">
        <v>1.1876380025870901</v>
      </c>
    </row>
    <row r="723" spans="1:21" x14ac:dyDescent="0.25">
      <c r="A723" s="4">
        <v>47880</v>
      </c>
      <c r="B723" s="10"/>
      <c r="C723" s="9">
        <v>27.582714701386763</v>
      </c>
      <c r="D723" s="5">
        <f t="shared" si="14"/>
        <v>2</v>
      </c>
      <c r="Q723" s="4">
        <v>47880</v>
      </c>
      <c r="R723" s="12">
        <v>39.526253553890818</v>
      </c>
      <c r="S723" s="12">
        <v>40.181532068059575</v>
      </c>
      <c r="T723" s="16">
        <v>0.74303695860884966</v>
      </c>
      <c r="U723" s="12">
        <v>39.454968681258038</v>
      </c>
    </row>
    <row r="724" spans="1:21" x14ac:dyDescent="0.25">
      <c r="A724" s="4">
        <v>47908</v>
      </c>
      <c r="B724" s="10"/>
      <c r="C724" s="9">
        <v>14.208988919485748</v>
      </c>
      <c r="D724" s="5">
        <f t="shared" si="14"/>
        <v>3</v>
      </c>
      <c r="Q724" s="4">
        <v>47908</v>
      </c>
      <c r="R724" s="12">
        <v>16.071834042379145</v>
      </c>
      <c r="S724" s="12">
        <v>11.443790876608501</v>
      </c>
      <c r="T724" s="16">
        <v>0.40276430303386307</v>
      </c>
      <c r="U724" s="12">
        <v>11.104250529097584</v>
      </c>
    </row>
    <row r="725" spans="1:21" x14ac:dyDescent="0.25">
      <c r="A725" s="4">
        <v>47939</v>
      </c>
      <c r="B725" s="10"/>
      <c r="C725" s="9">
        <v>18.903899801479405</v>
      </c>
      <c r="D725" s="5">
        <f t="shared" si="14"/>
        <v>4</v>
      </c>
      <c r="Q725" s="4">
        <v>47939</v>
      </c>
      <c r="R725" s="12">
        <v>15.192685015817906</v>
      </c>
      <c r="S725" s="12">
        <v>10.006910870869852</v>
      </c>
      <c r="T725" s="16">
        <v>0.44033620380625049</v>
      </c>
      <c r="U725" s="12">
        <v>11.439129963590954</v>
      </c>
    </row>
    <row r="726" spans="1:21" x14ac:dyDescent="0.25">
      <c r="A726" s="4">
        <v>47969</v>
      </c>
      <c r="B726" s="10"/>
      <c r="C726" s="9">
        <v>40.612214460186564</v>
      </c>
      <c r="D726" s="5">
        <f t="shared" si="14"/>
        <v>5</v>
      </c>
      <c r="Q726" s="4">
        <v>47969</v>
      </c>
      <c r="R726" s="12">
        <v>17.984932821329512</v>
      </c>
      <c r="S726" s="12">
        <v>16.35116440954247</v>
      </c>
      <c r="T726" s="16">
        <v>0.68495892207489961</v>
      </c>
      <c r="U726" s="12">
        <v>17.318191523960806</v>
      </c>
    </row>
    <row r="727" spans="1:21" x14ac:dyDescent="0.25">
      <c r="A727" s="4">
        <v>48000</v>
      </c>
      <c r="B727" s="10"/>
      <c r="C727" s="9">
        <v>4.0392370787766652</v>
      </c>
      <c r="D727" s="5">
        <f t="shared" si="14"/>
        <v>6</v>
      </c>
      <c r="Q727" s="4">
        <v>48000</v>
      </c>
      <c r="R727" s="12">
        <v>1.4547830594466573</v>
      </c>
      <c r="S727" s="12">
        <v>0.20105212320376853</v>
      </c>
      <c r="T727" s="16">
        <v>7.4716542726259369E-2</v>
      </c>
      <c r="U727" s="12">
        <v>7.1922980488710667E-2</v>
      </c>
    </row>
    <row r="728" spans="1:21" x14ac:dyDescent="0.25">
      <c r="A728" s="4">
        <v>48030</v>
      </c>
      <c r="B728" s="10"/>
      <c r="C728" s="9">
        <v>28.232185347158385</v>
      </c>
      <c r="D728" s="5">
        <f t="shared" si="14"/>
        <v>7</v>
      </c>
      <c r="Q728" s="4">
        <v>48030</v>
      </c>
      <c r="R728" s="12">
        <v>5.7380983197880875</v>
      </c>
      <c r="S728" s="12">
        <v>2.4285461577640559</v>
      </c>
      <c r="T728" s="16">
        <v>0.32099930531898041</v>
      </c>
      <c r="U728" s="12">
        <v>2.8214851699890748</v>
      </c>
    </row>
    <row r="729" spans="1:21" x14ac:dyDescent="0.25">
      <c r="A729" s="4">
        <v>48061</v>
      </c>
      <c r="B729" s="10"/>
      <c r="C729" s="9">
        <v>46.386240060694995</v>
      </c>
      <c r="D729" s="5">
        <f t="shared" si="14"/>
        <v>8</v>
      </c>
      <c r="Q729" s="4">
        <v>48061</v>
      </c>
      <c r="R729" s="12">
        <v>15.944133806966773</v>
      </c>
      <c r="S729" s="12">
        <v>16.644683280636318</v>
      </c>
      <c r="T729" s="16">
        <v>0.83957106727128239</v>
      </c>
      <c r="U729" s="12">
        <v>17.36560968734916</v>
      </c>
    </row>
    <row r="730" spans="1:21" x14ac:dyDescent="0.25">
      <c r="A730" s="4">
        <v>48092</v>
      </c>
      <c r="B730" s="10"/>
      <c r="C730" s="9">
        <v>26.722008717776642</v>
      </c>
      <c r="D730" s="5">
        <f t="shared" si="14"/>
        <v>9</v>
      </c>
      <c r="Q730" s="4">
        <v>48092</v>
      </c>
      <c r="R730" s="12">
        <v>10.77943665192625</v>
      </c>
      <c r="S730" s="12">
        <v>6.3989046686408724</v>
      </c>
      <c r="T730" s="16">
        <v>0.5477798821727442</v>
      </c>
      <c r="U730" s="12">
        <v>5.1871460342122884</v>
      </c>
    </row>
    <row r="731" spans="1:21" x14ac:dyDescent="0.25">
      <c r="A731" s="4">
        <v>48122</v>
      </c>
      <c r="B731" s="10"/>
      <c r="C731" s="9">
        <v>4.8460819879533394</v>
      </c>
      <c r="D731" s="5">
        <f t="shared" si="14"/>
        <v>10</v>
      </c>
      <c r="Q731" s="4">
        <v>48122</v>
      </c>
      <c r="R731" s="12">
        <v>6.0169118820435008</v>
      </c>
      <c r="S731" s="12">
        <v>5.4226633666218929</v>
      </c>
      <c r="T731" s="16">
        <v>0.15075295089341056</v>
      </c>
      <c r="U731" s="12">
        <v>5.2771734112445827</v>
      </c>
    </row>
    <row r="732" spans="1:21" x14ac:dyDescent="0.25">
      <c r="A732" s="4">
        <v>48153</v>
      </c>
      <c r="B732" s="10"/>
      <c r="C732" s="9">
        <v>14.121215904333159</v>
      </c>
      <c r="D732" s="5">
        <f t="shared" si="14"/>
        <v>11</v>
      </c>
      <c r="Q732" s="4">
        <v>48153</v>
      </c>
      <c r="R732" s="12">
        <v>14.535384142721304</v>
      </c>
      <c r="S732" s="12">
        <v>13.821523317911483</v>
      </c>
      <c r="T732" s="16">
        <v>0.39590566674967026</v>
      </c>
      <c r="U732" s="12">
        <v>13.713544286729579</v>
      </c>
    </row>
    <row r="733" spans="1:21" x14ac:dyDescent="0.25">
      <c r="A733" s="4">
        <v>48183</v>
      </c>
      <c r="B733" s="10"/>
      <c r="C733" s="9">
        <v>16.845852850092204</v>
      </c>
      <c r="D733" s="5">
        <f t="shared" si="14"/>
        <v>12</v>
      </c>
      <c r="Q733" s="4">
        <v>48183</v>
      </c>
      <c r="R733" s="12">
        <v>30.698901380338402</v>
      </c>
      <c r="S733" s="12">
        <v>31.795973962664554</v>
      </c>
      <c r="T733" s="16">
        <v>0.70212472009116011</v>
      </c>
      <c r="U733" s="12">
        <v>31.978368464570863</v>
      </c>
    </row>
    <row r="734" spans="1:21" x14ac:dyDescent="0.25">
      <c r="A734" s="4">
        <v>48214</v>
      </c>
      <c r="B734" s="10"/>
      <c r="C734" s="9">
        <v>8.4365823100009685</v>
      </c>
      <c r="D734" s="5">
        <f t="shared" si="14"/>
        <v>1</v>
      </c>
      <c r="Q734" s="4">
        <v>48214</v>
      </c>
      <c r="R734" s="12">
        <v>14.45271466413579</v>
      </c>
      <c r="S734" s="12">
        <v>5.1311591747595529</v>
      </c>
      <c r="T734" s="16">
        <v>0.40021379623050846</v>
      </c>
      <c r="U734" s="12">
        <v>5.7945537480201494</v>
      </c>
    </row>
    <row r="735" spans="1:21" x14ac:dyDescent="0.25">
      <c r="A735" s="4">
        <v>48245</v>
      </c>
      <c r="B735" s="10"/>
      <c r="C735" s="9">
        <v>41.94461938737205</v>
      </c>
      <c r="D735" s="5">
        <f t="shared" si="14"/>
        <v>2</v>
      </c>
      <c r="Q735" s="4">
        <v>48245</v>
      </c>
      <c r="R735" s="12">
        <v>60.106979283056511</v>
      </c>
      <c r="S735" s="12">
        <v>57.8667640051003</v>
      </c>
      <c r="T735" s="16">
        <v>0.87306274053740796</v>
      </c>
      <c r="U735" s="12">
        <v>57.676931372241754</v>
      </c>
    </row>
    <row r="736" spans="1:21" x14ac:dyDescent="0.25">
      <c r="A736" s="4">
        <v>48274</v>
      </c>
      <c r="B736" s="10"/>
      <c r="C736" s="9">
        <v>7.5935125344212251</v>
      </c>
      <c r="D736" s="5">
        <f t="shared" si="14"/>
        <v>3</v>
      </c>
      <c r="Q736" s="4">
        <v>48274</v>
      </c>
      <c r="R736" s="12">
        <v>8.5890469718489104</v>
      </c>
      <c r="S736" s="12">
        <v>4.6192387750130246</v>
      </c>
      <c r="T736" s="16">
        <v>0.18398502478177262</v>
      </c>
      <c r="U736" s="12">
        <v>3.8176543559686631</v>
      </c>
    </row>
    <row r="737" spans="1:21" x14ac:dyDescent="0.25">
      <c r="A737" s="4">
        <v>48305</v>
      </c>
      <c r="B737" s="10"/>
      <c r="C737" s="9">
        <v>28.836485143357898</v>
      </c>
      <c r="D737" s="5">
        <f t="shared" si="14"/>
        <v>4</v>
      </c>
      <c r="Q737" s="4">
        <v>48305</v>
      </c>
      <c r="R737" s="12">
        <v>23.175304585145099</v>
      </c>
      <c r="S737" s="12">
        <v>19.775924049915382</v>
      </c>
      <c r="T737" s="16">
        <v>0.65548846837184993</v>
      </c>
      <c r="U737" s="12">
        <v>21.776529046247234</v>
      </c>
    </row>
    <row r="738" spans="1:21" x14ac:dyDescent="0.25">
      <c r="A738" s="4">
        <v>48335</v>
      </c>
      <c r="B738" s="10"/>
      <c r="C738" s="9">
        <v>25.66565764828303</v>
      </c>
      <c r="D738" s="5">
        <f t="shared" si="14"/>
        <v>5</v>
      </c>
      <c r="Q738" s="4">
        <v>48335</v>
      </c>
      <c r="R738" s="12">
        <v>11.365918720638309</v>
      </c>
      <c r="S738" s="12">
        <v>7.763473407387993</v>
      </c>
      <c r="T738" s="16">
        <v>0.43195901063093556</v>
      </c>
      <c r="U738" s="12">
        <v>8.0259346615170042</v>
      </c>
    </row>
    <row r="739" spans="1:21" x14ac:dyDescent="0.25">
      <c r="A739" s="4">
        <v>48366</v>
      </c>
      <c r="B739" s="10"/>
      <c r="C739" s="9">
        <v>21.724888107692031</v>
      </c>
      <c r="D739" s="5">
        <f t="shared" si="14"/>
        <v>6</v>
      </c>
      <c r="Q739" s="4">
        <v>48366</v>
      </c>
      <c r="R739" s="12">
        <v>7.8244971936671996</v>
      </c>
      <c r="S739" s="12">
        <v>3.991581703646053</v>
      </c>
      <c r="T739" s="16">
        <v>0.46513231681235662</v>
      </c>
      <c r="U739" s="12">
        <v>4.0109715275182438</v>
      </c>
    </row>
    <row r="740" spans="1:21" x14ac:dyDescent="0.25">
      <c r="A740" s="4">
        <v>48396</v>
      </c>
      <c r="B740" s="10"/>
      <c r="C740" s="9">
        <v>14.439451192286688</v>
      </c>
      <c r="D740" s="5">
        <f t="shared" si="14"/>
        <v>7</v>
      </c>
      <c r="Q740" s="4">
        <v>48396</v>
      </c>
      <c r="R740" s="12">
        <v>2.9347707096100453</v>
      </c>
      <c r="S740" s="12">
        <v>0.61854960068099729</v>
      </c>
      <c r="T740" s="16">
        <v>0.10331642412054662</v>
      </c>
      <c r="U740" s="12">
        <v>0.58104054628338364</v>
      </c>
    </row>
    <row r="741" spans="1:21" x14ac:dyDescent="0.25">
      <c r="A741" s="4">
        <v>48427</v>
      </c>
      <c r="B741" s="10"/>
      <c r="C741" s="9">
        <v>25.890979582697781</v>
      </c>
      <c r="D741" s="5">
        <f t="shared" si="14"/>
        <v>8</v>
      </c>
      <c r="Q741" s="4">
        <v>48427</v>
      </c>
      <c r="R741" s="12">
        <v>8.8993900415258871</v>
      </c>
      <c r="S741" s="12">
        <v>6.6751678109840578</v>
      </c>
      <c r="T741" s="16">
        <v>0.60789216482760344</v>
      </c>
      <c r="U741" s="12">
        <v>7.7082242326755983</v>
      </c>
    </row>
    <row r="742" spans="1:21" x14ac:dyDescent="0.25">
      <c r="A742" s="4">
        <v>48458</v>
      </c>
      <c r="B742" s="10"/>
      <c r="C742" s="9">
        <v>0.36092288303488484</v>
      </c>
      <c r="D742" s="5">
        <f t="shared" si="14"/>
        <v>9</v>
      </c>
      <c r="Q742" s="4">
        <v>48458</v>
      </c>
      <c r="R742" s="12">
        <v>0.14559329708312568</v>
      </c>
      <c r="S742" s="12">
        <v>6.4377302979266721E-3</v>
      </c>
      <c r="T742" s="16">
        <v>1.405963235680319E-2</v>
      </c>
      <c r="U742" s="12">
        <v>5.7544262601416744E-5</v>
      </c>
    </row>
    <row r="743" spans="1:21" x14ac:dyDescent="0.25">
      <c r="A743" s="4">
        <v>48488</v>
      </c>
      <c r="B743" s="10"/>
      <c r="C743" s="9">
        <v>8.4739264869989661</v>
      </c>
      <c r="D743" s="5">
        <f t="shared" si="14"/>
        <v>10</v>
      </c>
      <c r="Q743" s="4">
        <v>48488</v>
      </c>
      <c r="R743" s="12">
        <v>10.52125595355861</v>
      </c>
      <c r="S743" s="12">
        <v>9.7756857162827639</v>
      </c>
      <c r="T743" s="16">
        <v>0.26962418745665234</v>
      </c>
      <c r="U743" s="12">
        <v>9.6656580099497074</v>
      </c>
    </row>
    <row r="744" spans="1:21" x14ac:dyDescent="0.25">
      <c r="A744" s="4">
        <v>48519</v>
      </c>
      <c r="B744" s="10"/>
      <c r="C744" s="9">
        <v>8.0957566989957375</v>
      </c>
      <c r="D744" s="5">
        <f t="shared" si="14"/>
        <v>11</v>
      </c>
      <c r="Q744" s="4">
        <v>48519</v>
      </c>
      <c r="R744" s="12">
        <v>8.333201216037164</v>
      </c>
      <c r="S744" s="12">
        <v>7.7639089134911181</v>
      </c>
      <c r="T744" s="16">
        <v>0.27238219928085555</v>
      </c>
      <c r="U744" s="12">
        <v>7.6205512892990486</v>
      </c>
    </row>
    <row r="745" spans="1:21" x14ac:dyDescent="0.25">
      <c r="A745" s="4">
        <v>48549</v>
      </c>
      <c r="B745" s="10"/>
      <c r="C745" s="9">
        <v>10.413366146338619</v>
      </c>
      <c r="D745" s="5">
        <f t="shared" si="14"/>
        <v>12</v>
      </c>
      <c r="Q745" s="4">
        <v>48549</v>
      </c>
      <c r="R745" s="12">
        <v>18.97671214444059</v>
      </c>
      <c r="S745" s="12">
        <v>21.260486426777781</v>
      </c>
      <c r="T745" s="16">
        <v>0.5570187270220418</v>
      </c>
      <c r="U745" s="12">
        <v>22.1966864470138</v>
      </c>
    </row>
    <row r="746" spans="1:21" x14ac:dyDescent="0.25">
      <c r="A746" s="4">
        <v>48580</v>
      </c>
      <c r="B746" s="10"/>
      <c r="C746" s="9">
        <v>23.965654128261171</v>
      </c>
      <c r="D746" s="5">
        <f t="shared" si="14"/>
        <v>1</v>
      </c>
      <c r="Q746" s="4">
        <v>48580</v>
      </c>
      <c r="R746" s="12">
        <v>41.055577736085276</v>
      </c>
      <c r="S746" s="12">
        <v>34.842073839039237</v>
      </c>
      <c r="T746" s="16">
        <v>0.78189501061208011</v>
      </c>
      <c r="U746" s="12">
        <v>40.22269560282426</v>
      </c>
    </row>
    <row r="747" spans="1:21" x14ac:dyDescent="0.25">
      <c r="A747" s="4">
        <v>48611</v>
      </c>
      <c r="B747" s="10"/>
      <c r="C747" s="9">
        <v>10.52438329483215</v>
      </c>
      <c r="D747" s="5">
        <f t="shared" si="14"/>
        <v>2</v>
      </c>
      <c r="Q747" s="4">
        <v>48611</v>
      </c>
      <c r="R747" s="12">
        <v>15.081526496336997</v>
      </c>
      <c r="S747" s="12">
        <v>17.374717215924008</v>
      </c>
      <c r="T747" s="16">
        <v>0.40554553888571743</v>
      </c>
      <c r="U747" s="12">
        <v>16.819022209323574</v>
      </c>
    </row>
    <row r="748" spans="1:21" x14ac:dyDescent="0.25">
      <c r="A748" s="4">
        <v>48639</v>
      </c>
      <c r="B748" s="10"/>
      <c r="C748" s="9">
        <v>1.6283995126469708</v>
      </c>
      <c r="D748" s="5">
        <f t="shared" si="14"/>
        <v>3</v>
      </c>
      <c r="Q748" s="4">
        <v>48639</v>
      </c>
      <c r="R748" s="12">
        <v>1.841888037935101</v>
      </c>
      <c r="S748" s="12">
        <v>0.49704445736788333</v>
      </c>
      <c r="T748" s="16">
        <v>1.6761751561168162E-2</v>
      </c>
      <c r="U748" s="12">
        <v>0.20313048834082256</v>
      </c>
    </row>
    <row r="749" spans="1:21" x14ac:dyDescent="0.25">
      <c r="A749" s="4">
        <v>48670</v>
      </c>
      <c r="B749" s="10"/>
      <c r="C749" s="9">
        <v>0.31884467236522596</v>
      </c>
      <c r="D749" s="5">
        <f t="shared" si="14"/>
        <v>4</v>
      </c>
      <c r="Q749" s="4">
        <v>48670</v>
      </c>
      <c r="R749" s="12">
        <v>0.25624906644064216</v>
      </c>
      <c r="S749" s="12">
        <v>1.3811243875811202E-2</v>
      </c>
      <c r="T749" s="16">
        <v>5.017998856012779E-4</v>
      </c>
      <c r="U749" s="12">
        <v>5.2430773586848306E-3</v>
      </c>
    </row>
    <row r="750" spans="1:21" x14ac:dyDescent="0.25">
      <c r="A750" s="4">
        <v>48700</v>
      </c>
      <c r="B750" s="10"/>
      <c r="C750" s="9">
        <v>11.237968166894083</v>
      </c>
      <c r="D750" s="5">
        <f t="shared" si="14"/>
        <v>5</v>
      </c>
      <c r="Q750" s="4">
        <v>48700</v>
      </c>
      <c r="R750" s="12">
        <v>4.9766826364016294</v>
      </c>
      <c r="S750" s="12">
        <v>2.0319088960302771</v>
      </c>
      <c r="T750" s="16">
        <v>0.12775861948364539</v>
      </c>
      <c r="U750" s="12">
        <v>1.6881858472249465</v>
      </c>
    </row>
    <row r="751" spans="1:21" x14ac:dyDescent="0.25">
      <c r="A751" s="4">
        <v>48731</v>
      </c>
      <c r="B751" s="10"/>
      <c r="C751" s="9">
        <v>5.3851695325210613</v>
      </c>
      <c r="D751" s="5">
        <f t="shared" si="14"/>
        <v>6</v>
      </c>
      <c r="Q751" s="4">
        <v>48731</v>
      </c>
      <c r="R751" s="12">
        <v>1.9395379016803389</v>
      </c>
      <c r="S751" s="12">
        <v>0.33509130573834395</v>
      </c>
      <c r="T751" s="16">
        <v>0.10591075043907935</v>
      </c>
      <c r="U751" s="12">
        <v>0.15204728452851568</v>
      </c>
    </row>
    <row r="752" spans="1:21" x14ac:dyDescent="0.25">
      <c r="A752" s="4">
        <v>48761</v>
      </c>
      <c r="B752" s="10"/>
      <c r="C752" s="9">
        <v>101.91618267871311</v>
      </c>
      <c r="D752" s="5">
        <f t="shared" si="14"/>
        <v>7</v>
      </c>
      <c r="Q752" s="4">
        <v>48761</v>
      </c>
      <c r="R752" s="12">
        <v>20.714127135283952</v>
      </c>
      <c r="S752" s="12">
        <v>33.305960559187746</v>
      </c>
      <c r="T752" s="16">
        <v>0.94832630248600847</v>
      </c>
      <c r="U752" s="12">
        <v>30.249559211347172</v>
      </c>
    </row>
    <row r="753" spans="1:21" x14ac:dyDescent="0.25">
      <c r="A753" s="4">
        <v>48792</v>
      </c>
      <c r="B753" s="10"/>
      <c r="C753" s="9">
        <v>12.837530765819761</v>
      </c>
      <c r="D753" s="5">
        <f t="shared" si="14"/>
        <v>8</v>
      </c>
      <c r="Q753" s="4">
        <v>48792</v>
      </c>
      <c r="R753" s="12">
        <v>4.4125867501539453</v>
      </c>
      <c r="S753" s="12">
        <v>2.2236521105076763</v>
      </c>
      <c r="T753" s="16">
        <v>0.33458602150163463</v>
      </c>
      <c r="U753" s="12">
        <v>2.6718140479973966</v>
      </c>
    </row>
    <row r="754" spans="1:21" x14ac:dyDescent="0.25">
      <c r="A754" s="4">
        <v>48823</v>
      </c>
      <c r="B754" s="10"/>
      <c r="C754" s="9">
        <v>24.606514077932278</v>
      </c>
      <c r="D754" s="5">
        <f t="shared" si="14"/>
        <v>9</v>
      </c>
      <c r="Q754" s="4">
        <v>48823</v>
      </c>
      <c r="R754" s="12">
        <v>9.9260636626972722</v>
      </c>
      <c r="S754" s="12">
        <v>5.6062900725653328</v>
      </c>
      <c r="T754" s="16">
        <v>0.51985361205417446</v>
      </c>
      <c r="U754" s="12">
        <v>4.3505529599704094</v>
      </c>
    </row>
    <row r="755" spans="1:21" x14ac:dyDescent="0.25">
      <c r="A755" s="4">
        <v>48853</v>
      </c>
      <c r="B755" s="10"/>
      <c r="C755" s="9">
        <v>22.841038381991968</v>
      </c>
      <c r="D755" s="5">
        <f t="shared" si="14"/>
        <v>10</v>
      </c>
      <c r="Q755" s="4">
        <v>48853</v>
      </c>
      <c r="R755" s="12">
        <v>28.359510957605863</v>
      </c>
      <c r="S755" s="12">
        <v>27.814568257415687</v>
      </c>
      <c r="T755" s="16">
        <v>0.6228280686061588</v>
      </c>
      <c r="U755" s="12">
        <v>27.923313589972363</v>
      </c>
    </row>
    <row r="756" spans="1:21" x14ac:dyDescent="0.25">
      <c r="A756" s="4">
        <v>48884</v>
      </c>
      <c r="B756" s="10"/>
      <c r="C756" s="9">
        <v>46.709943077977648</v>
      </c>
      <c r="D756" s="5">
        <f t="shared" si="14"/>
        <v>11</v>
      </c>
      <c r="Q756" s="4">
        <v>48884</v>
      </c>
      <c r="R756" s="12">
        <v>48.079922474290129</v>
      </c>
      <c r="S756" s="12">
        <v>47.769023130386863</v>
      </c>
      <c r="T756" s="16">
        <v>0.75359602786661806</v>
      </c>
      <c r="U756" s="12">
        <v>47.943106777643585</v>
      </c>
    </row>
    <row r="757" spans="1:21" x14ac:dyDescent="0.25">
      <c r="A757" s="4">
        <v>48914</v>
      </c>
      <c r="B757" s="10"/>
      <c r="C757" s="9">
        <v>0.97737261199881598</v>
      </c>
      <c r="D757" s="5">
        <f t="shared" si="14"/>
        <v>12</v>
      </c>
      <c r="Q757" s="4">
        <v>48914</v>
      </c>
      <c r="R757" s="12">
        <v>1.7811069403607651</v>
      </c>
      <c r="S757" s="12">
        <v>2.9361968710312065</v>
      </c>
      <c r="T757" s="16">
        <v>0.12100820777905869</v>
      </c>
      <c r="U757" s="12">
        <v>4.2436672350728433</v>
      </c>
    </row>
    <row r="758" spans="1:21" x14ac:dyDescent="0.25">
      <c r="A758" s="4">
        <v>48945</v>
      </c>
      <c r="B758" s="10"/>
      <c r="C758" s="9">
        <v>20.419994482948301</v>
      </c>
      <c r="D758" s="5">
        <f t="shared" si="14"/>
        <v>1</v>
      </c>
      <c r="Q758" s="4">
        <v>48945</v>
      </c>
      <c r="R758" s="12">
        <v>34.981505882474458</v>
      </c>
      <c r="S758" s="12">
        <v>25.97356288695509</v>
      </c>
      <c r="T758" s="16">
        <v>0.72454360648476679</v>
      </c>
      <c r="U758" s="12">
        <v>30.696997670315106</v>
      </c>
    </row>
    <row r="759" spans="1:21" x14ac:dyDescent="0.25">
      <c r="A759" s="4">
        <v>48976</v>
      </c>
      <c r="B759" s="10"/>
      <c r="C759" s="9">
        <v>18.961850497394508</v>
      </c>
      <c r="D759" s="5">
        <f t="shared" si="14"/>
        <v>2</v>
      </c>
      <c r="Q759" s="4">
        <v>48976</v>
      </c>
      <c r="R759" s="12">
        <v>27.172485330941857</v>
      </c>
      <c r="S759" s="12">
        <v>29.000333228136995</v>
      </c>
      <c r="T759" s="16">
        <v>0.60748628344374467</v>
      </c>
      <c r="U759" s="12">
        <v>28.227302521020263</v>
      </c>
    </row>
    <row r="760" spans="1:21" x14ac:dyDescent="0.25">
      <c r="A760" s="4">
        <v>49004</v>
      </c>
      <c r="B760" s="10"/>
      <c r="C760" s="9">
        <v>8.5425258477533053</v>
      </c>
      <c r="D760" s="5">
        <f t="shared" si="14"/>
        <v>3</v>
      </c>
      <c r="Q760" s="4">
        <v>49004</v>
      </c>
      <c r="R760" s="12">
        <v>9.6624790480021208</v>
      </c>
      <c r="S760" s="12">
        <v>5.4779809045768406</v>
      </c>
      <c r="T760" s="16">
        <v>0.21590572874891564</v>
      </c>
      <c r="U760" s="12">
        <v>4.6980283101150118</v>
      </c>
    </row>
    <row r="761" spans="1:21" x14ac:dyDescent="0.25">
      <c r="A761" s="4">
        <v>49035</v>
      </c>
      <c r="B761" s="10"/>
      <c r="C761" s="9">
        <v>57.926915567550012</v>
      </c>
      <c r="D761" s="5">
        <f t="shared" si="14"/>
        <v>4</v>
      </c>
      <c r="Q761" s="4">
        <v>49035</v>
      </c>
      <c r="R761" s="12">
        <v>46.55469989778473</v>
      </c>
      <c r="S761" s="12">
        <v>60.9285508923696</v>
      </c>
      <c r="T761" s="16">
        <v>0.93371398342587841</v>
      </c>
      <c r="U761" s="12">
        <v>57.90192904790316</v>
      </c>
    </row>
    <row r="762" spans="1:21" x14ac:dyDescent="0.25">
      <c r="A762" s="4">
        <v>49065</v>
      </c>
      <c r="B762" s="10"/>
      <c r="C762" s="9">
        <v>7.4893453601087563</v>
      </c>
      <c r="D762" s="5">
        <f t="shared" si="14"/>
        <v>5</v>
      </c>
      <c r="Q762" s="4">
        <v>49065</v>
      </c>
      <c r="R762" s="12">
        <v>3.3166222272695323</v>
      </c>
      <c r="S762" s="12">
        <v>1.0515769512750919</v>
      </c>
      <c r="T762" s="16">
        <v>6.216461338693411E-2</v>
      </c>
      <c r="U762" s="12">
        <v>0.72792281954105853</v>
      </c>
    </row>
    <row r="763" spans="1:21" x14ac:dyDescent="0.25">
      <c r="A763" s="4">
        <v>49096</v>
      </c>
      <c r="B763" s="10"/>
      <c r="C763" s="9">
        <v>35.931305546433407</v>
      </c>
      <c r="D763" s="5">
        <f t="shared" si="14"/>
        <v>6</v>
      </c>
      <c r="Q763" s="4">
        <v>49096</v>
      </c>
      <c r="R763" s="12">
        <v>12.941120709999117</v>
      </c>
      <c r="S763" s="12">
        <v>9.7562855439316394</v>
      </c>
      <c r="T763" s="16">
        <v>0.67804251416159267</v>
      </c>
      <c r="U763" s="12">
        <v>10.69949250221028</v>
      </c>
    </row>
    <row r="764" spans="1:21" x14ac:dyDescent="0.25">
      <c r="A764" s="4">
        <v>49126</v>
      </c>
      <c r="B764" s="10"/>
      <c r="C764" s="9">
        <v>21.302874530587875</v>
      </c>
      <c r="D764" s="5">
        <f t="shared" si="14"/>
        <v>7</v>
      </c>
      <c r="Q764" s="4">
        <v>49126</v>
      </c>
      <c r="R764" s="12">
        <v>4.3297388086511051</v>
      </c>
      <c r="S764" s="12">
        <v>1.3673138861842862</v>
      </c>
      <c r="T764" s="16">
        <v>0.20646141962999173</v>
      </c>
      <c r="U764" s="12">
        <v>1.4947425773046417</v>
      </c>
    </row>
    <row r="765" spans="1:21" x14ac:dyDescent="0.25">
      <c r="A765" s="4">
        <v>49157</v>
      </c>
      <c r="B765" s="10"/>
      <c r="C765" s="9">
        <v>5.213515092869546</v>
      </c>
      <c r="D765" s="5">
        <f t="shared" si="14"/>
        <v>8</v>
      </c>
      <c r="Q765" s="4">
        <v>49157</v>
      </c>
      <c r="R765" s="12">
        <v>1.7920181100383714</v>
      </c>
      <c r="S765" s="12">
        <v>0.5418049045875829</v>
      </c>
      <c r="T765" s="16">
        <v>0.12608303962939221</v>
      </c>
      <c r="U765" s="12">
        <v>0.60788375580892973</v>
      </c>
    </row>
    <row r="766" spans="1:21" x14ac:dyDescent="0.25">
      <c r="A766" s="4">
        <v>49188</v>
      </c>
      <c r="B766" s="10"/>
      <c r="C766" s="9">
        <v>24.296707372293149</v>
      </c>
      <c r="D766" s="5">
        <f t="shared" si="14"/>
        <v>9</v>
      </c>
      <c r="Q766" s="4">
        <v>49188</v>
      </c>
      <c r="R766" s="12">
        <v>9.8010902075558803</v>
      </c>
      <c r="S766" s="12">
        <v>5.4935478260234021</v>
      </c>
      <c r="T766" s="16">
        <v>0.51561432410619457</v>
      </c>
      <c r="U766" s="12">
        <v>4.2334033215919549</v>
      </c>
    </row>
    <row r="767" spans="1:21" x14ac:dyDescent="0.25">
      <c r="A767" s="4">
        <v>49218</v>
      </c>
      <c r="B767" s="10"/>
      <c r="C767" s="9">
        <v>4.432461922314034</v>
      </c>
      <c r="D767" s="5">
        <f t="shared" si="14"/>
        <v>10</v>
      </c>
      <c r="Q767" s="4">
        <v>49218</v>
      </c>
      <c r="R767" s="12">
        <v>5.5033598014589504</v>
      </c>
      <c r="S767" s="12">
        <v>4.9357488091276318</v>
      </c>
      <c r="T767" s="16">
        <v>0.13677625324862769</v>
      </c>
      <c r="U767" s="12">
        <v>4.7891979813854979</v>
      </c>
    </row>
    <row r="768" spans="1:21" x14ac:dyDescent="0.25">
      <c r="A768" s="4">
        <v>49249</v>
      </c>
      <c r="B768" s="10"/>
      <c r="C768" s="9">
        <v>46.626082693743847</v>
      </c>
      <c r="D768" s="5">
        <f t="shared" si="14"/>
        <v>11</v>
      </c>
      <c r="Q768" s="4">
        <v>49249</v>
      </c>
      <c r="R768" s="12">
        <v>47.99360250670005</v>
      </c>
      <c r="S768" s="12">
        <v>47.680119084556587</v>
      </c>
      <c r="T768" s="16">
        <v>0.7530530590689628</v>
      </c>
      <c r="U768" s="12">
        <v>47.853705173122719</v>
      </c>
    </row>
    <row r="769" spans="1:21" x14ac:dyDescent="0.25">
      <c r="A769" s="4">
        <v>49279</v>
      </c>
      <c r="B769" s="10"/>
      <c r="C769" s="9">
        <v>15.824602788804555</v>
      </c>
      <c r="D769" s="5">
        <f t="shared" si="14"/>
        <v>12</v>
      </c>
      <c r="Q769" s="4">
        <v>49279</v>
      </c>
      <c r="R769" s="12">
        <v>28.837834731168279</v>
      </c>
      <c r="S769" s="12">
        <v>30.174897851138713</v>
      </c>
      <c r="T769" s="16">
        <v>0.68321093249472153</v>
      </c>
      <c r="U769" s="12">
        <v>30.474200868459363</v>
      </c>
    </row>
    <row r="770" spans="1:21" x14ac:dyDescent="0.25">
      <c r="A770" s="4">
        <v>49310</v>
      </c>
      <c r="B770" s="10"/>
      <c r="C770" s="9">
        <v>28.68851903963078</v>
      </c>
      <c r="D770" s="5">
        <f t="shared" si="14"/>
        <v>1</v>
      </c>
      <c r="Q770" s="4">
        <v>49310</v>
      </c>
      <c r="R770" s="12">
        <v>49.146320699662915</v>
      </c>
      <c r="S770" s="12">
        <v>48.464927830537192</v>
      </c>
      <c r="T770" s="16">
        <v>0.84039395182336829</v>
      </c>
      <c r="U770" s="12">
        <v>53.891797489243658</v>
      </c>
    </row>
    <row r="771" spans="1:21" x14ac:dyDescent="0.25">
      <c r="A771" s="4">
        <v>49341</v>
      </c>
      <c r="B771" s="10"/>
      <c r="C771" s="9">
        <v>11.011240003485605</v>
      </c>
      <c r="D771" s="5">
        <f t="shared" ref="D771:D834" si="15">MONTH(A771)</f>
        <v>2</v>
      </c>
      <c r="Q771" s="4">
        <v>49341</v>
      </c>
      <c r="R771" s="12">
        <v>15.779196102790987</v>
      </c>
      <c r="S771" s="12">
        <v>18.072043096820927</v>
      </c>
      <c r="T771" s="16">
        <v>0.41962487760716893</v>
      </c>
      <c r="U771" s="12">
        <v>17.495494328305877</v>
      </c>
    </row>
    <row r="772" spans="1:21" x14ac:dyDescent="0.25">
      <c r="A772" s="4">
        <v>49369</v>
      </c>
      <c r="B772" s="10"/>
      <c r="C772" s="9">
        <v>4.8854879850566473</v>
      </c>
      <c r="D772" s="5">
        <f t="shared" si="15"/>
        <v>3</v>
      </c>
      <c r="Q772" s="4">
        <v>49369</v>
      </c>
      <c r="R772" s="12">
        <v>5.5259915083887243</v>
      </c>
      <c r="S772" s="12">
        <v>2.4392136488426663</v>
      </c>
      <c r="T772" s="16">
        <v>9.7199159574545585E-2</v>
      </c>
      <c r="U772" s="12">
        <v>1.7113725149202101</v>
      </c>
    </row>
    <row r="773" spans="1:21" x14ac:dyDescent="0.25">
      <c r="A773" s="4">
        <v>49400</v>
      </c>
      <c r="B773" s="10"/>
      <c r="C773" s="9">
        <v>23.516090273986528</v>
      </c>
      <c r="D773" s="5">
        <f t="shared" si="15"/>
        <v>4</v>
      </c>
      <c r="Q773" s="4">
        <v>49400</v>
      </c>
      <c r="R773" s="12">
        <v>18.899409967685951</v>
      </c>
      <c r="S773" s="12">
        <v>14.23143240076009</v>
      </c>
      <c r="T773" s="16">
        <v>0.54970733919184289</v>
      </c>
      <c r="U773" s="12">
        <v>16.038130126474893</v>
      </c>
    </row>
    <row r="774" spans="1:21" x14ac:dyDescent="0.25">
      <c r="A774" s="4">
        <v>49430</v>
      </c>
      <c r="B774" s="10"/>
      <c r="C774" s="9">
        <v>4.6180176089373335</v>
      </c>
      <c r="D774" s="5">
        <f t="shared" si="15"/>
        <v>5</v>
      </c>
      <c r="Q774" s="4">
        <v>49430</v>
      </c>
      <c r="R774" s="12">
        <v>2.0450679079781739</v>
      </c>
      <c r="S774" s="12">
        <v>0.47974134066733182</v>
      </c>
      <c r="T774" s="16">
        <v>2.4739769161551361E-2</v>
      </c>
      <c r="U774" s="12">
        <v>0.25395996778731467</v>
      </c>
    </row>
    <row r="775" spans="1:21" x14ac:dyDescent="0.25">
      <c r="A775" s="4">
        <v>49461</v>
      </c>
      <c r="B775" s="10"/>
      <c r="C775" s="9">
        <v>105.32869596434445</v>
      </c>
      <c r="D775" s="5">
        <f t="shared" si="15"/>
        <v>6</v>
      </c>
      <c r="Q775" s="4">
        <v>49461</v>
      </c>
      <c r="R775" s="12">
        <v>37.93548127384085</v>
      </c>
      <c r="S775" s="12">
        <v>65.906340880915337</v>
      </c>
      <c r="T775" s="16">
        <v>0.97832629144993111</v>
      </c>
      <c r="U775" s="12">
        <v>60.842069244561998</v>
      </c>
    </row>
    <row r="776" spans="1:21" x14ac:dyDescent="0.25">
      <c r="A776" s="4">
        <v>49491</v>
      </c>
      <c r="B776" s="10"/>
      <c r="C776" s="9">
        <v>40.558755115784692</v>
      </c>
      <c r="D776" s="5">
        <f t="shared" si="15"/>
        <v>7</v>
      </c>
      <c r="Q776" s="4">
        <v>49491</v>
      </c>
      <c r="R776" s="12">
        <v>8.2434328664537926</v>
      </c>
      <c r="S776" s="12">
        <v>5.0849404904727233</v>
      </c>
      <c r="T776" s="16">
        <v>0.5149553615827106</v>
      </c>
      <c r="U776" s="12">
        <v>5.9957694465179863</v>
      </c>
    </row>
    <row r="777" spans="1:21" x14ac:dyDescent="0.25">
      <c r="A777" s="4">
        <v>49522</v>
      </c>
      <c r="B777" s="10"/>
      <c r="C777" s="9">
        <v>33.301440535694411</v>
      </c>
      <c r="D777" s="5">
        <f t="shared" si="15"/>
        <v>8</v>
      </c>
      <c r="Q777" s="4">
        <v>49522</v>
      </c>
      <c r="R777" s="12">
        <v>11.44655447760177</v>
      </c>
      <c r="S777" s="12">
        <v>9.9026556095695355</v>
      </c>
      <c r="T777" s="16">
        <v>0.71444797075869482</v>
      </c>
      <c r="U777" s="12">
        <v>11.027961960393897</v>
      </c>
    </row>
    <row r="778" spans="1:21" x14ac:dyDescent="0.25">
      <c r="A778" s="4">
        <v>49553</v>
      </c>
      <c r="B778" s="10"/>
      <c r="C778" s="9">
        <v>2.4481177691617311</v>
      </c>
      <c r="D778" s="5">
        <f t="shared" si="15"/>
        <v>9</v>
      </c>
      <c r="Q778" s="4">
        <v>49553</v>
      </c>
      <c r="R778" s="12">
        <v>0.98755040041501674</v>
      </c>
      <c r="S778" s="12">
        <v>0.13860501793516586</v>
      </c>
      <c r="T778" s="16">
        <v>8.0370498398368684E-2</v>
      </c>
      <c r="U778" s="12">
        <v>1.2593330074673217E-2</v>
      </c>
    </row>
    <row r="779" spans="1:21" x14ac:dyDescent="0.25">
      <c r="A779" s="4">
        <v>49583</v>
      </c>
      <c r="B779" s="10"/>
      <c r="C779" s="9">
        <v>33.276147078593475</v>
      </c>
      <c r="D779" s="5">
        <f t="shared" si="15"/>
        <v>10</v>
      </c>
      <c r="Q779" s="4">
        <v>49583</v>
      </c>
      <c r="R779" s="12">
        <v>41.31577741431807</v>
      </c>
      <c r="S779" s="12">
        <v>41.362336681669667</v>
      </c>
      <c r="T779" s="16">
        <v>0.77304579457735745</v>
      </c>
      <c r="U779" s="12">
        <v>41.559949143687973</v>
      </c>
    </row>
    <row r="780" spans="1:21" x14ac:dyDescent="0.25">
      <c r="A780" s="4">
        <v>49614</v>
      </c>
      <c r="B780" s="10"/>
      <c r="C780" s="9">
        <v>58.72751432489941</v>
      </c>
      <c r="D780" s="5">
        <f t="shared" si="15"/>
        <v>11</v>
      </c>
      <c r="Q780" s="4">
        <v>49614</v>
      </c>
      <c r="R780" s="12">
        <v>60.449963108179787</v>
      </c>
      <c r="S780" s="12">
        <v>60.565479898844508</v>
      </c>
      <c r="T780" s="16">
        <v>0.81971762573964779</v>
      </c>
      <c r="U780" s="12">
        <v>60.792880632610498</v>
      </c>
    </row>
    <row r="781" spans="1:21" x14ac:dyDescent="0.25">
      <c r="A781" s="4">
        <v>49644</v>
      </c>
      <c r="B781" s="10"/>
      <c r="C781" s="9">
        <v>7.6821237409814866</v>
      </c>
      <c r="D781" s="5">
        <f t="shared" si="15"/>
        <v>12</v>
      </c>
      <c r="Q781" s="4">
        <v>49644</v>
      </c>
      <c r="R781" s="12">
        <v>13.999455012137076</v>
      </c>
      <c r="S781" s="12">
        <v>16.482766143111096</v>
      </c>
      <c r="T781" s="16">
        <v>0.47083838773705844</v>
      </c>
      <c r="U781" s="12">
        <v>17.728306755943461</v>
      </c>
    </row>
    <row r="782" spans="1:21" x14ac:dyDescent="0.25">
      <c r="A782" s="4">
        <v>49675</v>
      </c>
      <c r="B782" s="10"/>
      <c r="C782" s="9">
        <v>9.7445736747173743</v>
      </c>
      <c r="D782" s="5">
        <f t="shared" si="15"/>
        <v>1</v>
      </c>
      <c r="Q782" s="4">
        <v>49675</v>
      </c>
      <c r="R782" s="12">
        <v>16.693435525116474</v>
      </c>
      <c r="S782" s="12">
        <v>6.6843634520569353</v>
      </c>
      <c r="T782" s="16">
        <v>0.44834849033303903</v>
      </c>
      <c r="U782" s="12">
        <v>7.75910034239726</v>
      </c>
    </row>
    <row r="783" spans="1:21" x14ac:dyDescent="0.25">
      <c r="A783" s="4">
        <v>49706</v>
      </c>
      <c r="B783" s="10"/>
      <c r="C783" s="9">
        <v>12.217825223924748</v>
      </c>
      <c r="D783" s="5">
        <f t="shared" si="15"/>
        <v>2</v>
      </c>
      <c r="Q783" s="4">
        <v>49706</v>
      </c>
      <c r="R783" s="12">
        <v>17.50824249556889</v>
      </c>
      <c r="S783" s="12">
        <v>19.783426725745425</v>
      </c>
      <c r="T783" s="16">
        <v>0.45309051371008913</v>
      </c>
      <c r="U783" s="12">
        <v>19.159886846250831</v>
      </c>
    </row>
    <row r="784" spans="1:21" x14ac:dyDescent="0.25">
      <c r="A784" s="4">
        <v>49735</v>
      </c>
      <c r="B784" s="10"/>
      <c r="C784" s="9">
        <v>3.1334013956594117E-2</v>
      </c>
      <c r="D784" s="5">
        <f t="shared" si="15"/>
        <v>3</v>
      </c>
      <c r="Q784" s="4">
        <v>49735</v>
      </c>
      <c r="R784" s="12">
        <v>3.5442006116378807E-2</v>
      </c>
      <c r="S784" s="12">
        <v>1.6300149012303683E-3</v>
      </c>
      <c r="T784" s="16">
        <v>1.8101493402486682E-5</v>
      </c>
      <c r="U784" s="12">
        <v>5.7094396254401388E-5</v>
      </c>
    </row>
    <row r="785" spans="1:21" x14ac:dyDescent="0.25">
      <c r="A785" s="4">
        <v>49766</v>
      </c>
      <c r="B785" s="10"/>
      <c r="C785" s="9">
        <v>19.642950707615402</v>
      </c>
      <c r="D785" s="5">
        <f t="shared" si="15"/>
        <v>4</v>
      </c>
      <c r="Q785" s="4">
        <v>49766</v>
      </c>
      <c r="R785" s="12">
        <v>15.786645402060552</v>
      </c>
      <c r="S785" s="12">
        <v>10.645536019818994</v>
      </c>
      <c r="T785" s="16">
        <v>0.45891127724530545</v>
      </c>
      <c r="U785" s="12">
        <v>12.148363645140426</v>
      </c>
    </row>
    <row r="786" spans="1:21" x14ac:dyDescent="0.25">
      <c r="A786" s="4">
        <v>49796</v>
      </c>
      <c r="B786" s="10"/>
      <c r="C786" s="9">
        <v>42.334010678528038</v>
      </c>
      <c r="D786" s="5">
        <f t="shared" si="15"/>
        <v>5</v>
      </c>
      <c r="Q786" s="4">
        <v>49796</v>
      </c>
      <c r="R786" s="12">
        <v>18.747422376023653</v>
      </c>
      <c r="S786" s="12">
        <v>17.491127260491822</v>
      </c>
      <c r="T786" s="16">
        <v>0.70739175902853568</v>
      </c>
      <c r="U786" s="12">
        <v>18.503784994111722</v>
      </c>
    </row>
    <row r="787" spans="1:21" x14ac:dyDescent="0.25">
      <c r="A787" s="4">
        <v>49827</v>
      </c>
      <c r="B787" s="10"/>
      <c r="C787" s="9">
        <v>59.374420203589942</v>
      </c>
      <c r="D787" s="5">
        <f t="shared" si="15"/>
        <v>6</v>
      </c>
      <c r="Q787" s="4">
        <v>49827</v>
      </c>
      <c r="R787" s="12">
        <v>21.384459241201647</v>
      </c>
      <c r="S787" s="12">
        <v>23.808547627863391</v>
      </c>
      <c r="T787" s="16">
        <v>0.86719703211541765</v>
      </c>
      <c r="U787" s="12">
        <v>25.459004631427774</v>
      </c>
    </row>
    <row r="788" spans="1:21" x14ac:dyDescent="0.25">
      <c r="A788" s="4">
        <v>49857</v>
      </c>
      <c r="B788" s="10"/>
      <c r="C788" s="9">
        <v>1.6761086853103206</v>
      </c>
      <c r="D788" s="5">
        <f t="shared" si="15"/>
        <v>7</v>
      </c>
      <c r="Q788" s="4">
        <v>49857</v>
      </c>
      <c r="R788" s="12">
        <v>0.34066354809934701</v>
      </c>
      <c r="S788" s="12">
        <v>7.6501798488412881E-3</v>
      </c>
      <c r="T788" s="16">
        <v>9.5720287399659774E-4</v>
      </c>
      <c r="U788" s="12">
        <v>1.26089091805244E-3</v>
      </c>
    </row>
    <row r="789" spans="1:21" x14ac:dyDescent="0.25">
      <c r="A789" s="4">
        <v>49888</v>
      </c>
      <c r="B789" s="10"/>
      <c r="C789" s="9">
        <v>13.883511092151979</v>
      </c>
      <c r="D789" s="5">
        <f t="shared" si="15"/>
        <v>8</v>
      </c>
      <c r="Q789" s="4">
        <v>49888</v>
      </c>
      <c r="R789" s="12">
        <v>4.7721168664270897</v>
      </c>
      <c r="S789" s="12">
        <v>2.5140318077633164</v>
      </c>
      <c r="T789" s="16">
        <v>0.36084946498891846</v>
      </c>
      <c r="U789" s="12">
        <v>3.0205415583201742</v>
      </c>
    </row>
    <row r="790" spans="1:21" x14ac:dyDescent="0.25">
      <c r="A790" s="4">
        <v>49919</v>
      </c>
      <c r="B790" s="10"/>
      <c r="C790" s="9">
        <v>12.697978684780269</v>
      </c>
      <c r="D790" s="5">
        <f t="shared" si="15"/>
        <v>9</v>
      </c>
      <c r="Q790" s="4">
        <v>49919</v>
      </c>
      <c r="R790" s="12">
        <v>5.1222592689688833</v>
      </c>
      <c r="S790" s="12">
        <v>1.9409346733803479</v>
      </c>
      <c r="T790" s="16">
        <v>0.32425932961613835</v>
      </c>
      <c r="U790" s="12">
        <v>0.95416555667148262</v>
      </c>
    </row>
    <row r="791" spans="1:21" x14ac:dyDescent="0.25">
      <c r="A791" s="4">
        <v>49949</v>
      </c>
      <c r="B791" s="10"/>
      <c r="C791" s="9">
        <v>94.263008763098853</v>
      </c>
      <c r="D791" s="5">
        <f t="shared" si="15"/>
        <v>10</v>
      </c>
      <c r="Q791" s="4">
        <v>49949</v>
      </c>
      <c r="R791" s="12">
        <v>117.03727235192645</v>
      </c>
      <c r="S791" s="12">
        <v>124.01792228187294</v>
      </c>
      <c r="T791" s="16">
        <v>0.98987766531897292</v>
      </c>
      <c r="U791" s="12">
        <v>123.13204104680779</v>
      </c>
    </row>
    <row r="792" spans="1:21" x14ac:dyDescent="0.25">
      <c r="A792" s="4">
        <v>49980</v>
      </c>
      <c r="B792" s="10"/>
      <c r="C792" s="9">
        <v>56.557401424956126</v>
      </c>
      <c r="D792" s="5">
        <f t="shared" si="15"/>
        <v>11</v>
      </c>
      <c r="Q792" s="4">
        <v>49980</v>
      </c>
      <c r="R792" s="12">
        <v>58.216201876325009</v>
      </c>
      <c r="S792" s="12">
        <v>58.246964931088343</v>
      </c>
      <c r="T792" s="16">
        <v>0.80932907134868626</v>
      </c>
      <c r="U792" s="12">
        <v>58.467414651396808</v>
      </c>
    </row>
    <row r="793" spans="1:21" x14ac:dyDescent="0.25">
      <c r="A793" s="4">
        <v>50010</v>
      </c>
      <c r="B793" s="10"/>
      <c r="C793" s="9">
        <v>17.055158094180904</v>
      </c>
      <c r="D793" s="5">
        <f t="shared" si="15"/>
        <v>12</v>
      </c>
      <c r="Q793" s="4">
        <v>50010</v>
      </c>
      <c r="R793" s="12">
        <v>31.080327070319512</v>
      </c>
      <c r="S793" s="12">
        <v>32.126204439649484</v>
      </c>
      <c r="T793" s="16">
        <v>0.70584381059279788</v>
      </c>
      <c r="U793" s="12">
        <v>32.28486395873977</v>
      </c>
    </row>
    <row r="794" spans="1:21" x14ac:dyDescent="0.25">
      <c r="A794" s="4">
        <v>50041</v>
      </c>
      <c r="B794" s="10"/>
      <c r="C794" s="9">
        <v>3.983430982652413</v>
      </c>
      <c r="D794" s="5">
        <f t="shared" si="15"/>
        <v>1</v>
      </c>
      <c r="Q794" s="4">
        <v>50041</v>
      </c>
      <c r="R794" s="12">
        <v>6.8240182174607105</v>
      </c>
      <c r="S794" s="12">
        <v>1.2950133148040821</v>
      </c>
      <c r="T794" s="16">
        <v>0.20648135012143393</v>
      </c>
      <c r="U794" s="12">
        <v>1.1351295866616997</v>
      </c>
    </row>
    <row r="795" spans="1:21" x14ac:dyDescent="0.25">
      <c r="A795" s="4">
        <v>50072</v>
      </c>
      <c r="B795" s="10"/>
      <c r="C795" s="9">
        <v>22.450742501622102</v>
      </c>
      <c r="D795" s="5">
        <f t="shared" si="15"/>
        <v>2</v>
      </c>
      <c r="Q795" s="4">
        <v>50072</v>
      </c>
      <c r="R795" s="12">
        <v>32.172095828827658</v>
      </c>
      <c r="S795" s="12">
        <v>33.591468234629495</v>
      </c>
      <c r="T795" s="16">
        <v>0.66934235328593616</v>
      </c>
      <c r="U795" s="12">
        <v>32.808200472809354</v>
      </c>
    </row>
    <row r="796" spans="1:21" x14ac:dyDescent="0.25">
      <c r="A796" s="4">
        <v>50100</v>
      </c>
      <c r="B796" s="10"/>
      <c r="C796" s="9">
        <v>22.67254041177403</v>
      </c>
      <c r="D796" s="5">
        <f t="shared" si="15"/>
        <v>3</v>
      </c>
      <c r="Q796" s="4">
        <v>50100</v>
      </c>
      <c r="R796" s="12">
        <v>25.644984937489465</v>
      </c>
      <c r="S796" s="12">
        <v>22.511251376872664</v>
      </c>
      <c r="T796" s="16">
        <v>0.6291591147515212</v>
      </c>
      <c r="U796" s="12">
        <v>23.159576704035945</v>
      </c>
    </row>
    <row r="797" spans="1:21" x14ac:dyDescent="0.25">
      <c r="A797" s="4">
        <v>50131</v>
      </c>
      <c r="B797" s="10"/>
      <c r="C797" s="9">
        <v>3.8897984506454524</v>
      </c>
      <c r="D797" s="5">
        <f t="shared" si="15"/>
        <v>4</v>
      </c>
      <c r="Q797" s="4">
        <v>50131</v>
      </c>
      <c r="R797" s="12">
        <v>3.1261529767020888</v>
      </c>
      <c r="S797" s="12">
        <v>0.78103980194920331</v>
      </c>
      <c r="T797" s="16">
        <v>4.4555089364809827E-2</v>
      </c>
      <c r="U797" s="12">
        <v>0.73249603814559006</v>
      </c>
    </row>
    <row r="798" spans="1:21" x14ac:dyDescent="0.25">
      <c r="A798" s="4">
        <v>50161</v>
      </c>
      <c r="B798" s="10"/>
      <c r="C798" s="9">
        <v>0.33895164840981079</v>
      </c>
      <c r="D798" s="5">
        <f t="shared" si="15"/>
        <v>5</v>
      </c>
      <c r="Q798" s="4">
        <v>50161</v>
      </c>
      <c r="R798" s="12">
        <v>0.15010318219178789</v>
      </c>
      <c r="S798" s="12">
        <v>6.9164835216735049E-3</v>
      </c>
      <c r="T798" s="16">
        <v>1.0725945624885566E-4</v>
      </c>
      <c r="U798" s="12">
        <v>5.4729816514109914E-4</v>
      </c>
    </row>
    <row r="799" spans="1:21" x14ac:dyDescent="0.25">
      <c r="A799" s="4">
        <v>50192</v>
      </c>
      <c r="B799" s="10"/>
      <c r="C799" s="9">
        <v>44.445010561498179</v>
      </c>
      <c r="D799" s="5">
        <f t="shared" si="15"/>
        <v>6</v>
      </c>
      <c r="Q799" s="4">
        <v>50192</v>
      </c>
      <c r="R799" s="12">
        <v>16.007440806464814</v>
      </c>
      <c r="S799" s="12">
        <v>14.233831369497686</v>
      </c>
      <c r="T799" s="16">
        <v>0.76540912753400148</v>
      </c>
      <c r="U799" s="12">
        <v>15.64733433079731</v>
      </c>
    </row>
    <row r="800" spans="1:21" x14ac:dyDescent="0.25">
      <c r="A800" s="4">
        <v>50222</v>
      </c>
      <c r="B800" s="10"/>
      <c r="C800" s="9">
        <v>21.079026274039261</v>
      </c>
      <c r="D800" s="5">
        <f t="shared" si="15"/>
        <v>7</v>
      </c>
      <c r="Q800" s="4">
        <v>50222</v>
      </c>
      <c r="R800" s="12">
        <v>4.2842423906801033</v>
      </c>
      <c r="S800" s="12">
        <v>1.3381672298761773</v>
      </c>
      <c r="T800" s="16">
        <v>0.20285282402396798</v>
      </c>
      <c r="U800" s="12">
        <v>1.4583395742896275</v>
      </c>
    </row>
    <row r="801" spans="1:21" x14ac:dyDescent="0.25">
      <c r="A801" s="4">
        <v>50253</v>
      </c>
      <c r="B801" s="10"/>
      <c r="C801" s="9">
        <v>41.735769826989518</v>
      </c>
      <c r="D801" s="5">
        <f t="shared" si="15"/>
        <v>8</v>
      </c>
      <c r="Q801" s="4">
        <v>50253</v>
      </c>
      <c r="R801" s="12">
        <v>14.34564857568922</v>
      </c>
      <c r="S801" s="12">
        <v>14.105324947128176</v>
      </c>
      <c r="T801" s="16">
        <v>0.80270375564810081</v>
      </c>
      <c r="U801" s="12">
        <v>15.057235670488545</v>
      </c>
    </row>
    <row r="802" spans="1:21" x14ac:dyDescent="0.25">
      <c r="A802" s="4">
        <v>50284</v>
      </c>
      <c r="B802" s="10"/>
      <c r="C802" s="9">
        <v>21.034889927316875</v>
      </c>
      <c r="D802" s="5">
        <f t="shared" si="15"/>
        <v>9</v>
      </c>
      <c r="Q802" s="4">
        <v>50284</v>
      </c>
      <c r="R802" s="12">
        <v>8.4853001077315593</v>
      </c>
      <c r="S802" s="12">
        <v>4.3598572341873814</v>
      </c>
      <c r="T802" s="16">
        <v>0.46850539406420366</v>
      </c>
      <c r="U802" s="12">
        <v>3.0873929579314972</v>
      </c>
    </row>
    <row r="803" spans="1:21" x14ac:dyDescent="0.25">
      <c r="A803" s="4">
        <v>50314</v>
      </c>
      <c r="B803" s="10"/>
      <c r="C803" s="9">
        <v>49.117924801584671</v>
      </c>
      <c r="D803" s="5">
        <f t="shared" si="15"/>
        <v>10</v>
      </c>
      <c r="Q803" s="4">
        <v>50314</v>
      </c>
      <c r="R803" s="12">
        <v>60.984982527047485</v>
      </c>
      <c r="S803" s="12">
        <v>62.364580899646583</v>
      </c>
      <c r="T803" s="16">
        <v>0.89716524691465827</v>
      </c>
      <c r="U803" s="12">
        <v>62.534053789608954</v>
      </c>
    </row>
    <row r="804" spans="1:21" x14ac:dyDescent="0.25">
      <c r="A804" s="4">
        <v>50345</v>
      </c>
      <c r="B804" s="10"/>
      <c r="C804" s="9">
        <v>0.80231689126392747</v>
      </c>
      <c r="D804" s="5">
        <f t="shared" si="15"/>
        <v>11</v>
      </c>
      <c r="Q804" s="4">
        <v>50345</v>
      </c>
      <c r="R804" s="12">
        <v>0.8258484466013023</v>
      </c>
      <c r="S804" s="12">
        <v>0.70689035612650875</v>
      </c>
      <c r="T804" s="16">
        <v>4.865928285060063E-2</v>
      </c>
      <c r="U804" s="12">
        <v>0.64896875255273168</v>
      </c>
    </row>
    <row r="805" spans="1:21" x14ac:dyDescent="0.25">
      <c r="A805" s="4">
        <v>50375</v>
      </c>
      <c r="B805" s="10"/>
      <c r="C805" s="9">
        <v>17.420011207552278</v>
      </c>
      <c r="D805" s="5">
        <f t="shared" si="15"/>
        <v>12</v>
      </c>
      <c r="Q805" s="4">
        <v>50375</v>
      </c>
      <c r="R805" s="12">
        <v>31.745214140470782</v>
      </c>
      <c r="S805" s="12">
        <v>32.700275189026321</v>
      </c>
      <c r="T805" s="16">
        <v>0.71220430764165721</v>
      </c>
      <c r="U805" s="12">
        <v>32.81775540820945</v>
      </c>
    </row>
    <row r="806" spans="1:21" x14ac:dyDescent="0.25">
      <c r="A806" s="4">
        <v>50406</v>
      </c>
      <c r="B806" s="10"/>
      <c r="C806" s="9">
        <v>51.137643194878216</v>
      </c>
      <c r="D806" s="5">
        <f t="shared" si="15"/>
        <v>1</v>
      </c>
      <c r="Q806" s="4">
        <v>50406</v>
      </c>
      <c r="R806" s="12">
        <v>87.603929948722964</v>
      </c>
      <c r="S806" s="12">
        <v>139.9566748677953</v>
      </c>
      <c r="T806" s="16">
        <v>0.96426420681237413</v>
      </c>
      <c r="U806" s="12">
        <v>128.34601131386719</v>
      </c>
    </row>
    <row r="807" spans="1:21" x14ac:dyDescent="0.25">
      <c r="A807" s="4">
        <v>50437</v>
      </c>
      <c r="B807" s="10"/>
      <c r="C807" s="9">
        <v>74.46086441934203</v>
      </c>
      <c r="D807" s="5">
        <f t="shared" si="15"/>
        <v>2</v>
      </c>
      <c r="Q807" s="4">
        <v>50437</v>
      </c>
      <c r="R807" s="12">
        <v>106.7030217563331</v>
      </c>
      <c r="S807" s="12">
        <v>95.349271023009663</v>
      </c>
      <c r="T807" s="16">
        <v>0.97425763138610266</v>
      </c>
      <c r="U807" s="12">
        <v>97.873221655440318</v>
      </c>
    </row>
    <row r="808" spans="1:21" x14ac:dyDescent="0.25">
      <c r="A808" s="4">
        <v>50465</v>
      </c>
      <c r="B808" s="10"/>
      <c r="C808" s="9">
        <v>3.3180323526041997</v>
      </c>
      <c r="D808" s="5">
        <f t="shared" si="15"/>
        <v>3</v>
      </c>
      <c r="Q808" s="4">
        <v>50465</v>
      </c>
      <c r="R808" s="12">
        <v>3.7530372935380929</v>
      </c>
      <c r="S808" s="12">
        <v>1.3930456863756471</v>
      </c>
      <c r="T808" s="16">
        <v>5.3438536650101502E-2</v>
      </c>
      <c r="U808" s="12">
        <v>0.82279787593282216</v>
      </c>
    </row>
    <row r="809" spans="1:21" x14ac:dyDescent="0.25">
      <c r="A809" s="4">
        <v>50496</v>
      </c>
      <c r="B809" s="10"/>
      <c r="C809" s="9">
        <v>119.22613411799642</v>
      </c>
      <c r="D809" s="5">
        <f t="shared" si="15"/>
        <v>4</v>
      </c>
      <c r="Q809" s="4">
        <v>50496</v>
      </c>
      <c r="R809" s="12">
        <v>95.819652046961451</v>
      </c>
      <c r="S809" s="12">
        <v>195.22185291220043</v>
      </c>
      <c r="T809" s="16">
        <v>0.99864377151640527</v>
      </c>
      <c r="U809" s="12">
        <v>144.80438346098845</v>
      </c>
    </row>
    <row r="810" spans="1:21" x14ac:dyDescent="0.25">
      <c r="A810" s="4">
        <v>50526</v>
      </c>
      <c r="B810" s="10"/>
      <c r="C810" s="9">
        <v>54.516202699428042</v>
      </c>
      <c r="D810" s="5">
        <f t="shared" si="15"/>
        <v>5</v>
      </c>
      <c r="Q810" s="4">
        <v>50526</v>
      </c>
      <c r="R810" s="12">
        <v>24.142250213525831</v>
      </c>
      <c r="S810" s="12">
        <v>26.369016160360633</v>
      </c>
      <c r="T810" s="16">
        <v>0.83080090017464925</v>
      </c>
      <c r="U810" s="12">
        <v>27.38148735895378</v>
      </c>
    </row>
    <row r="811" spans="1:21" x14ac:dyDescent="0.25">
      <c r="A811" s="4">
        <v>50557</v>
      </c>
      <c r="B811" s="10"/>
      <c r="C811" s="9">
        <v>7.5430884629315154</v>
      </c>
      <c r="D811" s="5">
        <f t="shared" si="15"/>
        <v>6</v>
      </c>
      <c r="Q811" s="4">
        <v>50557</v>
      </c>
      <c r="R811" s="12">
        <v>2.7167400916966669</v>
      </c>
      <c r="S811" s="12">
        <v>0.60970249981667024</v>
      </c>
      <c r="T811" s="16">
        <v>0.15730408029336471</v>
      </c>
      <c r="U811" s="12">
        <v>0.35644690073730351</v>
      </c>
    </row>
    <row r="812" spans="1:21" x14ac:dyDescent="0.25">
      <c r="A812" s="4">
        <v>50587</v>
      </c>
      <c r="B812" s="10"/>
      <c r="C812" s="9">
        <v>11.475718174783129</v>
      </c>
      <c r="D812" s="5">
        <f t="shared" si="15"/>
        <v>7</v>
      </c>
      <c r="Q812" s="4">
        <v>50587</v>
      </c>
      <c r="R812" s="12">
        <v>2.3324017736272222</v>
      </c>
      <c r="S812" s="12">
        <v>0.38713625353202913</v>
      </c>
      <c r="T812" s="16">
        <v>6.6255106785914022E-2</v>
      </c>
      <c r="U812" s="12">
        <v>0.32160629975146399</v>
      </c>
    </row>
    <row r="813" spans="1:21" x14ac:dyDescent="0.25">
      <c r="A813" s="4">
        <v>50618</v>
      </c>
      <c r="B813" s="10"/>
      <c r="C813" s="9">
        <v>69.882827823486082</v>
      </c>
      <c r="D813" s="5">
        <f t="shared" si="15"/>
        <v>8</v>
      </c>
      <c r="Q813" s="4">
        <v>50618</v>
      </c>
      <c r="R813" s="12">
        <v>24.020510310147102</v>
      </c>
      <c r="S813" s="12">
        <v>31.634561683993503</v>
      </c>
      <c r="T813" s="16">
        <v>0.94481204691995679</v>
      </c>
      <c r="U813" s="12">
        <v>29.668078527973567</v>
      </c>
    </row>
    <row r="814" spans="1:21" x14ac:dyDescent="0.25">
      <c r="A814" s="4">
        <v>50649</v>
      </c>
      <c r="B814" s="10"/>
      <c r="C814" s="9">
        <v>7.3637485651323074</v>
      </c>
      <c r="D814" s="5">
        <f t="shared" si="15"/>
        <v>9</v>
      </c>
      <c r="Q814" s="4">
        <v>50649</v>
      </c>
      <c r="R814" s="12">
        <v>2.9704750872920513</v>
      </c>
      <c r="S814" s="12">
        <v>0.81022073129890815</v>
      </c>
      <c r="T814" s="16">
        <v>0.20915922261880399</v>
      </c>
      <c r="U814" s="12">
        <v>0.24305963330017669</v>
      </c>
    </row>
    <row r="815" spans="1:21" x14ac:dyDescent="0.25">
      <c r="A815" s="4">
        <v>50679</v>
      </c>
      <c r="B815" s="10"/>
      <c r="C815" s="9">
        <v>40.375658440355132</v>
      </c>
      <c r="D815" s="5">
        <f t="shared" si="15"/>
        <v>10</v>
      </c>
      <c r="Q815" s="4">
        <v>50679</v>
      </c>
      <c r="R815" s="12">
        <v>50.130554872783527</v>
      </c>
      <c r="S815" s="12">
        <v>50.719352833985923</v>
      </c>
      <c r="T815" s="16">
        <v>0.84045812998430047</v>
      </c>
      <c r="U815" s="12">
        <v>50.928701228102284</v>
      </c>
    </row>
    <row r="816" spans="1:21" x14ac:dyDescent="0.25">
      <c r="A816" s="4">
        <v>50710</v>
      </c>
      <c r="B816" s="10"/>
      <c r="C816" s="9">
        <v>1.737304642947076</v>
      </c>
      <c r="D816" s="5">
        <f t="shared" si="15"/>
        <v>11</v>
      </c>
      <c r="Q816" s="4">
        <v>50710</v>
      </c>
      <c r="R816" s="12">
        <v>1.7882589239656208</v>
      </c>
      <c r="S816" s="12">
        <v>1.5746612262830533</v>
      </c>
      <c r="T816" s="16">
        <v>8.7820258451177746E-2</v>
      </c>
      <c r="U816" s="12">
        <v>1.4822292278479103</v>
      </c>
    </row>
    <row r="817" spans="1:21" x14ac:dyDescent="0.25">
      <c r="A817" s="4">
        <v>50740</v>
      </c>
      <c r="B817" s="10"/>
      <c r="C817" s="9">
        <v>24.563049000251883</v>
      </c>
      <c r="D817" s="5">
        <f t="shared" si="15"/>
        <v>12</v>
      </c>
      <c r="Q817" s="4">
        <v>50740</v>
      </c>
      <c r="R817" s="12">
        <v>44.762270308862703</v>
      </c>
      <c r="S817" s="12">
        <v>43.593630843783487</v>
      </c>
      <c r="T817" s="16">
        <v>0.81079269875978588</v>
      </c>
      <c r="U817" s="12">
        <v>42.963123837901769</v>
      </c>
    </row>
    <row r="818" spans="1:21" x14ac:dyDescent="0.25">
      <c r="A818" s="4">
        <v>50771</v>
      </c>
      <c r="B818" s="10"/>
      <c r="C818" s="9">
        <v>0.29492072694859922</v>
      </c>
      <c r="D818" s="5">
        <f t="shared" si="15"/>
        <v>1</v>
      </c>
      <c r="Q818" s="4">
        <v>50771</v>
      </c>
      <c r="R818" s="12">
        <v>0.50522888991136006</v>
      </c>
      <c r="S818" s="12">
        <v>1.0916059937024856E-2</v>
      </c>
      <c r="T818" s="16">
        <v>1.4179388575751684E-2</v>
      </c>
      <c r="U818" s="12">
        <v>1.8717307943580922E-3</v>
      </c>
    </row>
    <row r="819" spans="1:21" x14ac:dyDescent="0.25">
      <c r="A819" s="4">
        <v>50802</v>
      </c>
      <c r="B819" s="10"/>
      <c r="C819" s="9">
        <v>123.26143775289061</v>
      </c>
      <c r="D819" s="5">
        <f t="shared" si="15"/>
        <v>2</v>
      </c>
      <c r="Q819" s="4">
        <v>50802</v>
      </c>
      <c r="R819" s="12">
        <v>176.63463856923897</v>
      </c>
      <c r="S819" s="12">
        <v>147.84069025161662</v>
      </c>
      <c r="T819" s="16">
        <v>0.99764905918230862</v>
      </c>
      <c r="U819" s="12">
        <v>157.00606153195417</v>
      </c>
    </row>
    <row r="820" spans="1:21" x14ac:dyDescent="0.25">
      <c r="A820" s="4">
        <v>50830</v>
      </c>
      <c r="B820" s="10"/>
      <c r="C820" s="9">
        <v>77.152720010187139</v>
      </c>
      <c r="D820" s="5">
        <f t="shared" si="15"/>
        <v>3</v>
      </c>
      <c r="Q820" s="4">
        <v>50830</v>
      </c>
      <c r="R820" s="12">
        <v>87.267695044887816</v>
      </c>
      <c r="S820" s="12">
        <v>132.5743546330072</v>
      </c>
      <c r="T820" s="16">
        <v>0.99118088141707861</v>
      </c>
      <c r="U820" s="12">
        <v>125.76258344150098</v>
      </c>
    </row>
    <row r="821" spans="1:21" x14ac:dyDescent="0.25">
      <c r="A821" s="4">
        <v>50861</v>
      </c>
      <c r="B821" s="10"/>
      <c r="C821" s="9">
        <v>14.482117930096557</v>
      </c>
      <c r="D821" s="5">
        <f t="shared" si="15"/>
        <v>4</v>
      </c>
      <c r="Q821" s="4">
        <v>50861</v>
      </c>
      <c r="R821" s="12">
        <v>11.638987636649821</v>
      </c>
      <c r="S821" s="12">
        <v>6.5106985973306504</v>
      </c>
      <c r="T821" s="16">
        <v>0.32227875159002844</v>
      </c>
      <c r="U821" s="12">
        <v>7.4618491863910101</v>
      </c>
    </row>
    <row r="822" spans="1:21" x14ac:dyDescent="0.25">
      <c r="A822" s="4">
        <v>50891</v>
      </c>
      <c r="B822" s="10"/>
      <c r="C822" s="9">
        <v>27.467155973435887</v>
      </c>
      <c r="D822" s="5">
        <f t="shared" si="15"/>
        <v>5</v>
      </c>
      <c r="Q822" s="4">
        <v>50891</v>
      </c>
      <c r="R822" s="12">
        <v>12.163703987614438</v>
      </c>
      <c r="S822" s="12">
        <v>8.6671232749236218</v>
      </c>
      <c r="T822" s="16">
        <v>0.46776195214955124</v>
      </c>
      <c r="U822" s="12">
        <v>9.0318067437248128</v>
      </c>
    </row>
    <row r="823" spans="1:21" x14ac:dyDescent="0.25">
      <c r="A823" s="4">
        <v>50922</v>
      </c>
      <c r="B823" s="10"/>
      <c r="C823" s="9">
        <v>41.412412653785857</v>
      </c>
      <c r="D823" s="5">
        <f t="shared" si="15"/>
        <v>6</v>
      </c>
      <c r="Q823" s="4">
        <v>50922</v>
      </c>
      <c r="R823" s="12">
        <v>14.915211760184265</v>
      </c>
      <c r="S823" s="12">
        <v>12.554635224432044</v>
      </c>
      <c r="T823" s="16">
        <v>0.7371970693944131</v>
      </c>
      <c r="U823" s="12">
        <v>13.820831169731946</v>
      </c>
    </row>
    <row r="824" spans="1:21" x14ac:dyDescent="0.25">
      <c r="A824" s="4">
        <v>50952</v>
      </c>
      <c r="B824" s="10"/>
      <c r="C824" s="9">
        <v>221.2350429599849</v>
      </c>
      <c r="D824" s="5">
        <f t="shared" si="15"/>
        <v>7</v>
      </c>
      <c r="Q824" s="4">
        <v>50952</v>
      </c>
      <c r="R824" s="12">
        <v>44.965290949916096</v>
      </c>
      <c r="S824" s="12">
        <v>161.85811749075205</v>
      </c>
      <c r="T824" s="16">
        <v>0.99973605420285883</v>
      </c>
      <c r="U824" s="12">
        <v>91.610466657219135</v>
      </c>
    </row>
    <row r="825" spans="1:21" x14ac:dyDescent="0.25">
      <c r="A825" s="4">
        <v>50983</v>
      </c>
      <c r="B825" s="10"/>
      <c r="C825" s="9">
        <v>20.083214828767371</v>
      </c>
      <c r="D825" s="5">
        <f t="shared" si="15"/>
        <v>8</v>
      </c>
      <c r="Q825" s="4">
        <v>50983</v>
      </c>
      <c r="R825" s="12">
        <v>6.9031131664248235</v>
      </c>
      <c r="S825" s="12">
        <v>4.4833706704482781</v>
      </c>
      <c r="T825" s="16">
        <v>0.50086459394887395</v>
      </c>
      <c r="U825" s="12">
        <v>5.3068547632101808</v>
      </c>
    </row>
    <row r="826" spans="1:21" x14ac:dyDescent="0.25">
      <c r="A826" s="4">
        <v>51014</v>
      </c>
      <c r="B826" s="10"/>
      <c r="C826" s="9">
        <v>1.3322167219769898</v>
      </c>
      <c r="D826" s="5">
        <f t="shared" si="15"/>
        <v>9</v>
      </c>
      <c r="Q826" s="4">
        <v>51014</v>
      </c>
      <c r="R826" s="12">
        <v>0.53740517462051973</v>
      </c>
      <c r="S826" s="12">
        <v>5.2249754754112476E-2</v>
      </c>
      <c r="T826" s="16">
        <v>4.6446024974872026E-2</v>
      </c>
      <c r="U826" s="12">
        <v>2.3121535043033425E-3</v>
      </c>
    </row>
    <row r="827" spans="1:21" x14ac:dyDescent="0.25">
      <c r="A827" s="4">
        <v>51044</v>
      </c>
      <c r="B827" s="10"/>
      <c r="C827" s="9">
        <v>16.732780158942955</v>
      </c>
      <c r="D827" s="5">
        <f t="shared" si="15"/>
        <v>10</v>
      </c>
      <c r="Q827" s="4">
        <v>51044</v>
      </c>
      <c r="R827" s="12">
        <v>20.775476768292553</v>
      </c>
      <c r="S827" s="12">
        <v>20.033246297189464</v>
      </c>
      <c r="T827" s="16">
        <v>0.49654485599221504</v>
      </c>
      <c r="U827" s="12">
        <v>20.055051767093502</v>
      </c>
    </row>
    <row r="828" spans="1:21" x14ac:dyDescent="0.25">
      <c r="A828" s="4">
        <v>51075</v>
      </c>
      <c r="B828" s="10"/>
      <c r="C828" s="9">
        <v>7.1343596884837313</v>
      </c>
      <c r="D828" s="5">
        <f t="shared" si="15"/>
        <v>11</v>
      </c>
      <c r="Q828" s="4">
        <v>51075</v>
      </c>
      <c r="R828" s="12">
        <v>7.3436069094188632</v>
      </c>
      <c r="S828" s="12">
        <v>6.8102730476925553</v>
      </c>
      <c r="T828" s="16">
        <v>0.24925104388853148</v>
      </c>
      <c r="U828" s="12">
        <v>6.6655273500484151</v>
      </c>
    </row>
    <row r="829" spans="1:21" x14ac:dyDescent="0.25">
      <c r="A829" s="4">
        <v>51105</v>
      </c>
      <c r="B829" s="10"/>
      <c r="C829" s="9">
        <v>17.667581381972536</v>
      </c>
      <c r="D829" s="5">
        <f t="shared" si="15"/>
        <v>12</v>
      </c>
      <c r="Q829" s="4">
        <v>51105</v>
      </c>
      <c r="R829" s="12">
        <v>32.196371611503722</v>
      </c>
      <c r="S829" s="12">
        <v>33.088690589550247</v>
      </c>
      <c r="T829" s="16">
        <v>0.71643348606180002</v>
      </c>
      <c r="U829" s="12">
        <v>33.178373304132812</v>
      </c>
    </row>
    <row r="830" spans="1:21" x14ac:dyDescent="0.25">
      <c r="A830" s="4">
        <v>51136</v>
      </c>
      <c r="B830" s="10"/>
      <c r="C830" s="9">
        <v>12.791158903633704</v>
      </c>
      <c r="D830" s="5">
        <f t="shared" si="15"/>
        <v>1</v>
      </c>
      <c r="Q830" s="4">
        <v>51136</v>
      </c>
      <c r="R830" s="12">
        <v>21.912542670115513</v>
      </c>
      <c r="S830" s="12">
        <v>11.010900468580017</v>
      </c>
      <c r="T830" s="16">
        <v>0.54672537794938703</v>
      </c>
      <c r="U830" s="12">
        <v>13.182946570890698</v>
      </c>
    </row>
    <row r="831" spans="1:21" x14ac:dyDescent="0.25">
      <c r="A831" s="4">
        <v>51167</v>
      </c>
      <c r="B831" s="10"/>
      <c r="C831" s="9">
        <v>15.042721501523671</v>
      </c>
      <c r="D831" s="5">
        <f t="shared" si="15"/>
        <v>2</v>
      </c>
      <c r="Q831" s="4">
        <v>51167</v>
      </c>
      <c r="R831" s="12">
        <v>21.556341739629289</v>
      </c>
      <c r="S831" s="12">
        <v>23.708548733211352</v>
      </c>
      <c r="T831" s="16">
        <v>0.52405916581779399</v>
      </c>
      <c r="U831" s="12">
        <v>22.999991603759142</v>
      </c>
    </row>
    <row r="832" spans="1:21" x14ac:dyDescent="0.25">
      <c r="A832" s="4">
        <v>51196</v>
      </c>
      <c r="B832" s="10"/>
      <c r="C832" s="9">
        <v>25.334286115347922</v>
      </c>
      <c r="D832" s="5">
        <f t="shared" si="15"/>
        <v>3</v>
      </c>
      <c r="Q832" s="4">
        <v>51196</v>
      </c>
      <c r="R832" s="12">
        <v>28.655694246452992</v>
      </c>
      <c r="S832" s="12">
        <v>26.436261966771813</v>
      </c>
      <c r="T832" s="16">
        <v>0.68434820413431685</v>
      </c>
      <c r="U832" s="12">
        <v>27.364786293392772</v>
      </c>
    </row>
    <row r="833" spans="1:21" x14ac:dyDescent="0.25">
      <c r="A833" s="4">
        <v>51227</v>
      </c>
      <c r="B833" s="10"/>
      <c r="C833" s="9">
        <v>3.1197932607846206</v>
      </c>
      <c r="D833" s="5">
        <f t="shared" si="15"/>
        <v>4</v>
      </c>
      <c r="Q833" s="4">
        <v>51227</v>
      </c>
      <c r="R833" s="12">
        <v>2.5073152536421537</v>
      </c>
      <c r="S833" s="12">
        <v>0.54718159927285104</v>
      </c>
      <c r="T833" s="16">
        <v>3.0624720983754E-2</v>
      </c>
      <c r="U833" s="12">
        <v>0.4826697285783782</v>
      </c>
    </row>
    <row r="834" spans="1:21" x14ac:dyDescent="0.25">
      <c r="A834" s="4">
        <v>51257</v>
      </c>
      <c r="B834" s="10"/>
      <c r="C834" s="9">
        <v>20.744878203885957</v>
      </c>
      <c r="D834" s="5">
        <f t="shared" si="15"/>
        <v>5</v>
      </c>
      <c r="Q834" s="4">
        <v>51257</v>
      </c>
      <c r="R834" s="12">
        <v>9.1867741230734605</v>
      </c>
      <c r="S834" s="12">
        <v>5.4955783170775065</v>
      </c>
      <c r="T834" s="16">
        <v>0.32881136853932758</v>
      </c>
      <c r="U834" s="12">
        <v>5.4858378572329975</v>
      </c>
    </row>
    <row r="835" spans="1:21" x14ac:dyDescent="0.25">
      <c r="A835" s="4">
        <v>51288</v>
      </c>
      <c r="B835" s="10"/>
      <c r="C835" s="9">
        <v>9.3037839870347501</v>
      </c>
      <c r="D835" s="5">
        <f t="shared" ref="D835:D898" si="16">MONTH(A835)</f>
        <v>6</v>
      </c>
      <c r="Q835" s="4">
        <v>51288</v>
      </c>
      <c r="R835" s="12">
        <v>3.3508771753473003</v>
      </c>
      <c r="S835" s="12">
        <v>0.88502073099480538</v>
      </c>
      <c r="T835" s="16">
        <v>0.19936738342914923</v>
      </c>
      <c r="U835" s="12">
        <v>0.59577457530407896</v>
      </c>
    </row>
    <row r="836" spans="1:21" x14ac:dyDescent="0.25">
      <c r="A836" s="4">
        <v>51318</v>
      </c>
      <c r="B836" s="10"/>
      <c r="C836" s="9">
        <v>1.88117006087826</v>
      </c>
      <c r="D836" s="5">
        <f t="shared" si="16"/>
        <v>7</v>
      </c>
      <c r="Q836" s="4">
        <v>51318</v>
      </c>
      <c r="R836" s="12">
        <v>0.38234159463137929</v>
      </c>
      <c r="S836" s="12">
        <v>9.6809395026855333E-3</v>
      </c>
      <c r="T836" s="16">
        <v>1.2511750222773659E-3</v>
      </c>
      <c r="U836" s="12">
        <v>1.788114064066883E-3</v>
      </c>
    </row>
    <row r="837" spans="1:21" x14ac:dyDescent="0.25">
      <c r="A837" s="4">
        <v>51349</v>
      </c>
      <c r="B837" s="10"/>
      <c r="C837" s="9">
        <v>24.612902241374101</v>
      </c>
      <c r="D837" s="5">
        <f t="shared" si="16"/>
        <v>8</v>
      </c>
      <c r="Q837" s="4">
        <v>51349</v>
      </c>
      <c r="R837" s="12">
        <v>8.4600822614804816</v>
      </c>
      <c r="S837" s="12">
        <v>6.166119710431464</v>
      </c>
      <c r="T837" s="16">
        <v>0.58624335845943576</v>
      </c>
      <c r="U837" s="12">
        <v>7.162395708595783</v>
      </c>
    </row>
    <row r="838" spans="1:21" x14ac:dyDescent="0.25">
      <c r="A838" s="4">
        <v>51380</v>
      </c>
      <c r="B838" s="10"/>
      <c r="C838" s="9">
        <v>1.0529331810082005</v>
      </c>
      <c r="D838" s="5">
        <f t="shared" si="16"/>
        <v>9</v>
      </c>
      <c r="Q838" s="4">
        <v>51380</v>
      </c>
      <c r="R838" s="12">
        <v>0.42474451091090926</v>
      </c>
      <c r="S838" s="12">
        <v>3.5831452117310786E-2</v>
      </c>
      <c r="T838" s="16">
        <v>3.7500120470296078E-2</v>
      </c>
      <c r="U838" s="12">
        <v>1.1935277514393322E-3</v>
      </c>
    </row>
    <row r="839" spans="1:21" x14ac:dyDescent="0.25">
      <c r="A839" s="4">
        <v>51410</v>
      </c>
      <c r="B839" s="10"/>
      <c r="C839" s="9">
        <v>11.752504822214258</v>
      </c>
      <c r="D839" s="5">
        <f t="shared" si="16"/>
        <v>10</v>
      </c>
      <c r="Q839" s="4">
        <v>51410</v>
      </c>
      <c r="R839" s="12">
        <v>14.591949967899589</v>
      </c>
      <c r="S839" s="12">
        <v>13.802017240068343</v>
      </c>
      <c r="T839" s="16">
        <v>0.36771273198124244</v>
      </c>
      <c r="U839" s="12">
        <v>13.742418137948565</v>
      </c>
    </row>
    <row r="840" spans="1:21" x14ac:dyDescent="0.25">
      <c r="A840" s="4">
        <v>51441</v>
      </c>
      <c r="B840" s="10"/>
      <c r="C840" s="9">
        <v>88.887976058302812</v>
      </c>
      <c r="D840" s="5">
        <f t="shared" si="16"/>
        <v>11</v>
      </c>
      <c r="Q840" s="4">
        <v>51441</v>
      </c>
      <c r="R840" s="12">
        <v>91.495016181997698</v>
      </c>
      <c r="S840" s="12">
        <v>93.073881677877125</v>
      </c>
      <c r="T840" s="16">
        <v>0.91618472857435584</v>
      </c>
      <c r="U840" s="12">
        <v>93.276208518530893</v>
      </c>
    </row>
    <row r="841" spans="1:21" x14ac:dyDescent="0.25">
      <c r="A841" s="4">
        <v>51471</v>
      </c>
      <c r="B841" s="10"/>
      <c r="C841" s="9">
        <v>25.867524072981876</v>
      </c>
      <c r="D841" s="5">
        <f t="shared" si="16"/>
        <v>12</v>
      </c>
      <c r="Q841" s="4">
        <v>51471</v>
      </c>
      <c r="R841" s="12">
        <v>47.1394697280437</v>
      </c>
      <c r="S841" s="12">
        <v>45.522595124949781</v>
      </c>
      <c r="T841" s="16">
        <v>0.82449570254026916</v>
      </c>
      <c r="U841" s="12">
        <v>44.768547603767054</v>
      </c>
    </row>
    <row r="842" spans="1:21" x14ac:dyDescent="0.25">
      <c r="A842" s="4">
        <v>51502</v>
      </c>
      <c r="B842" s="10"/>
      <c r="C842" s="9">
        <v>0.40182052271646779</v>
      </c>
      <c r="D842" s="5">
        <f t="shared" si="16"/>
        <v>1</v>
      </c>
      <c r="Q842" s="4">
        <v>51502</v>
      </c>
      <c r="R842" s="12">
        <v>0.68835899984413662</v>
      </c>
      <c r="S842" s="12">
        <v>1.9253668573832587E-2</v>
      </c>
      <c r="T842" s="16">
        <v>1.9715553333754139E-2</v>
      </c>
      <c r="U842" s="12">
        <v>4.112060404105256E-3</v>
      </c>
    </row>
    <row r="843" spans="1:21" x14ac:dyDescent="0.25">
      <c r="A843" s="4">
        <v>51533</v>
      </c>
      <c r="B843" s="10"/>
      <c r="C843" s="9">
        <v>29.025201762283427</v>
      </c>
      <c r="D843" s="5">
        <f t="shared" si="16"/>
        <v>2</v>
      </c>
      <c r="Q843" s="4">
        <v>51533</v>
      </c>
      <c r="R843" s="12">
        <v>41.593349194565441</v>
      </c>
      <c r="S843" s="12">
        <v>42.003959728697161</v>
      </c>
      <c r="T843" s="16">
        <v>0.76061454955244501</v>
      </c>
      <c r="U843" s="12">
        <v>41.30742278998995</v>
      </c>
    </row>
    <row r="844" spans="1:21" x14ac:dyDescent="0.25">
      <c r="A844" s="4">
        <v>51561</v>
      </c>
      <c r="B844" s="10"/>
      <c r="C844" s="9">
        <v>14.479542563765236</v>
      </c>
      <c r="D844" s="5">
        <f t="shared" si="16"/>
        <v>3</v>
      </c>
      <c r="Q844" s="4">
        <v>51561</v>
      </c>
      <c r="R844" s="12">
        <v>16.377858158173741</v>
      </c>
      <c r="S844" s="12">
        <v>11.760628045843776</v>
      </c>
      <c r="T844" s="16">
        <v>0.41115706198149271</v>
      </c>
      <c r="U844" s="12">
        <v>11.45047431994324</v>
      </c>
    </row>
    <row r="845" spans="1:21" x14ac:dyDescent="0.25">
      <c r="A845" s="4">
        <v>51592</v>
      </c>
      <c r="B845" s="10"/>
      <c r="C845" s="9">
        <v>5.9136438880244002</v>
      </c>
      <c r="D845" s="5">
        <f t="shared" si="16"/>
        <v>4</v>
      </c>
      <c r="Q845" s="4">
        <v>51592</v>
      </c>
      <c r="R845" s="12">
        <v>4.7526769518446299</v>
      </c>
      <c r="S845" s="12">
        <v>1.5351475721056325</v>
      </c>
      <c r="T845" s="16">
        <v>8.8577076085994355E-2</v>
      </c>
      <c r="U845" s="12">
        <v>1.5875874067535538</v>
      </c>
    </row>
    <row r="846" spans="1:21" x14ac:dyDescent="0.25">
      <c r="A846" s="4">
        <v>51622</v>
      </c>
      <c r="B846" s="10"/>
      <c r="C846" s="9">
        <v>26.305269332751049</v>
      </c>
      <c r="D846" s="5">
        <f t="shared" si="16"/>
        <v>5</v>
      </c>
      <c r="Q846" s="4">
        <v>51622</v>
      </c>
      <c r="R846" s="12">
        <v>11.649167820196075</v>
      </c>
      <c r="S846" s="12">
        <v>8.0799316209219079</v>
      </c>
      <c r="T846" s="16">
        <v>0.44481297541414166</v>
      </c>
      <c r="U846" s="12">
        <v>8.3787689134617942</v>
      </c>
    </row>
    <row r="847" spans="1:21" x14ac:dyDescent="0.25">
      <c r="A847" s="4">
        <v>51653</v>
      </c>
      <c r="B847" s="10"/>
      <c r="C847" s="9">
        <v>6.7882622519823199</v>
      </c>
      <c r="D847" s="5">
        <f t="shared" si="16"/>
        <v>6</v>
      </c>
      <c r="Q847" s="4">
        <v>51653</v>
      </c>
      <c r="R847" s="12">
        <v>2.4448797470080668</v>
      </c>
      <c r="S847" s="12">
        <v>0.50557099021564422</v>
      </c>
      <c r="T847" s="16">
        <v>0.13924041651853275</v>
      </c>
      <c r="U847" s="12">
        <v>0.27394312795991427</v>
      </c>
    </row>
    <row r="848" spans="1:21" x14ac:dyDescent="0.25">
      <c r="A848" s="4">
        <v>51683</v>
      </c>
      <c r="B848" s="10"/>
      <c r="C848" s="9">
        <v>27.584830971628222</v>
      </c>
      <c r="D848" s="5">
        <f t="shared" si="16"/>
        <v>7</v>
      </c>
      <c r="Q848" s="4">
        <v>51683</v>
      </c>
      <c r="R848" s="12">
        <v>5.6065256834915855</v>
      </c>
      <c r="S848" s="12">
        <v>2.3163130546383583</v>
      </c>
      <c r="T848" s="16">
        <v>0.31023362795908788</v>
      </c>
      <c r="U848" s="12">
        <v>2.6819860057282843</v>
      </c>
    </row>
    <row r="849" spans="1:21" x14ac:dyDescent="0.25">
      <c r="A849" s="4">
        <v>51714</v>
      </c>
      <c r="B849" s="10"/>
      <c r="C849" s="9">
        <v>1.1423176244966757</v>
      </c>
      <c r="D849" s="5">
        <f t="shared" si="16"/>
        <v>8</v>
      </c>
      <c r="Q849" s="4">
        <v>51714</v>
      </c>
      <c r="R849" s="12">
        <v>0.39264370277047494</v>
      </c>
      <c r="S849" s="12">
        <v>5.0198394702025924E-2</v>
      </c>
      <c r="T849" s="16">
        <v>1.9407174174300025E-2</v>
      </c>
      <c r="U849" s="12">
        <v>4.1292728363862663E-2</v>
      </c>
    </row>
    <row r="850" spans="1:21" x14ac:dyDescent="0.25">
      <c r="A850" s="4">
        <v>51745</v>
      </c>
      <c r="B850" s="10"/>
      <c r="C850" s="9">
        <v>13.029954041760037</v>
      </c>
      <c r="D850" s="5">
        <f t="shared" si="16"/>
        <v>9</v>
      </c>
      <c r="Q850" s="4">
        <v>51745</v>
      </c>
      <c r="R850" s="12">
        <v>5.2561753741673458</v>
      </c>
      <c r="S850" s="12">
        <v>2.0229335948042899</v>
      </c>
      <c r="T850" s="16">
        <v>0.330761085965323</v>
      </c>
      <c r="U850" s="12">
        <v>1.0156319669511571</v>
      </c>
    </row>
    <row r="851" spans="1:21" x14ac:dyDescent="0.25">
      <c r="A851" s="4">
        <v>51775</v>
      </c>
      <c r="B851" s="10"/>
      <c r="C851" s="9">
        <v>59.508421813705795</v>
      </c>
      <c r="D851" s="5">
        <f t="shared" si="16"/>
        <v>10</v>
      </c>
      <c r="Q851" s="4">
        <v>51775</v>
      </c>
      <c r="R851" s="12">
        <v>73.88585896454515</v>
      </c>
      <c r="S851" s="12">
        <v>76.352475940918495</v>
      </c>
      <c r="T851" s="16">
        <v>0.93931652543423061</v>
      </c>
      <c r="U851" s="12">
        <v>76.39981837526534</v>
      </c>
    </row>
    <row r="852" spans="1:21" x14ac:dyDescent="0.25">
      <c r="A852" s="4">
        <v>51806</v>
      </c>
      <c r="B852" s="10"/>
      <c r="C852" s="9">
        <v>7.510980121082901</v>
      </c>
      <c r="D852" s="5">
        <f t="shared" si="16"/>
        <v>11</v>
      </c>
      <c r="Q852" s="4">
        <v>51806</v>
      </c>
      <c r="R852" s="12">
        <v>7.7312734319700125</v>
      </c>
      <c r="S852" s="12">
        <v>7.1833243931879576</v>
      </c>
      <c r="T852" s="16">
        <v>0.25845249396874637</v>
      </c>
      <c r="U852" s="12">
        <v>7.0389098980749294</v>
      </c>
    </row>
    <row r="853" spans="1:21" x14ac:dyDescent="0.25">
      <c r="A853" s="4">
        <v>51836</v>
      </c>
      <c r="B853" s="10"/>
      <c r="C853" s="9">
        <v>4.7081547840846296</v>
      </c>
      <c r="D853" s="5">
        <f t="shared" si="16"/>
        <v>12</v>
      </c>
      <c r="Q853" s="4">
        <v>51836</v>
      </c>
      <c r="R853" s="12">
        <v>8.5798671451170474</v>
      </c>
      <c r="S853" s="12">
        <v>10.942364157569532</v>
      </c>
      <c r="T853" s="16">
        <v>0.35022408201842947</v>
      </c>
      <c r="U853" s="12">
        <v>12.456451003810962</v>
      </c>
    </row>
    <row r="854" spans="1:21" x14ac:dyDescent="0.25">
      <c r="A854" s="4">
        <v>51867</v>
      </c>
      <c r="B854" s="10"/>
      <c r="C854" s="9">
        <v>9.9042330607149847</v>
      </c>
      <c r="D854" s="5">
        <f t="shared" si="16"/>
        <v>1</v>
      </c>
      <c r="Q854" s="4">
        <v>51867</v>
      </c>
      <c r="R854" s="12">
        <v>16.966948123522489</v>
      </c>
      <c r="S854" s="12">
        <v>6.8866702220147449</v>
      </c>
      <c r="T854" s="16">
        <v>0.45397010917439073</v>
      </c>
      <c r="U854" s="12">
        <v>8.0149632302298848</v>
      </c>
    </row>
    <row r="855" spans="1:21" x14ac:dyDescent="0.25">
      <c r="A855" s="4">
        <v>51898</v>
      </c>
      <c r="B855" s="10"/>
      <c r="C855" s="9">
        <v>28.404630478290827</v>
      </c>
      <c r="D855" s="5">
        <f t="shared" si="16"/>
        <v>2</v>
      </c>
      <c r="Q855" s="4">
        <v>51898</v>
      </c>
      <c r="R855" s="12">
        <v>40.704065518723269</v>
      </c>
      <c r="S855" s="12">
        <v>41.221410758878484</v>
      </c>
      <c r="T855" s="16">
        <v>0.75320509564737737</v>
      </c>
      <c r="U855" s="12">
        <v>40.511235137233186</v>
      </c>
    </row>
    <row r="856" spans="1:21" x14ac:dyDescent="0.25">
      <c r="A856" s="4">
        <v>51926</v>
      </c>
      <c r="B856" s="10"/>
      <c r="C856" s="9">
        <v>7.0895538160907012</v>
      </c>
      <c r="D856" s="5">
        <f t="shared" si="16"/>
        <v>3</v>
      </c>
      <c r="Q856" s="4">
        <v>51926</v>
      </c>
      <c r="R856" s="12">
        <v>8.0190176100756165</v>
      </c>
      <c r="S856" s="12">
        <v>4.1820471404758646</v>
      </c>
      <c r="T856" s="16">
        <v>0.16722132030591325</v>
      </c>
      <c r="U856" s="12">
        <v>3.3779152086983997</v>
      </c>
    </row>
    <row r="857" spans="1:21" x14ac:dyDescent="0.25">
      <c r="A857" s="4">
        <v>51957</v>
      </c>
      <c r="B857" s="10"/>
      <c r="C857" s="9">
        <v>43.801317658366315</v>
      </c>
      <c r="D857" s="5">
        <f t="shared" si="16"/>
        <v>4</v>
      </c>
      <c r="Q857" s="4">
        <v>51957</v>
      </c>
      <c r="R857" s="12">
        <v>35.202240249351291</v>
      </c>
      <c r="S857" s="12">
        <v>38.814640039083841</v>
      </c>
      <c r="T857" s="16">
        <v>0.84807079657741657</v>
      </c>
      <c r="U857" s="12">
        <v>39.606230744258106</v>
      </c>
    </row>
    <row r="858" spans="1:21" x14ac:dyDescent="0.25">
      <c r="A858" s="4">
        <v>51987</v>
      </c>
      <c r="B858" s="10"/>
      <c r="C858" s="9">
        <v>53.508383859602972</v>
      </c>
      <c r="D858" s="5">
        <f t="shared" si="16"/>
        <v>5</v>
      </c>
      <c r="Q858" s="4">
        <v>51987</v>
      </c>
      <c r="R858" s="12">
        <v>23.695942264765904</v>
      </c>
      <c r="S858" s="12">
        <v>25.582361547260781</v>
      </c>
      <c r="T858" s="16">
        <v>0.82269820370635838</v>
      </c>
      <c r="U858" s="12">
        <v>26.61851863209446</v>
      </c>
    </row>
    <row r="859" spans="1:21" x14ac:dyDescent="0.25">
      <c r="A859" s="4">
        <v>52018</v>
      </c>
      <c r="B859" s="10"/>
      <c r="C859" s="9">
        <v>78.766051724960676</v>
      </c>
      <c r="D859" s="5">
        <f t="shared" si="16"/>
        <v>6</v>
      </c>
      <c r="Q859" s="4">
        <v>52018</v>
      </c>
      <c r="R859" s="12">
        <v>28.368604138402358</v>
      </c>
      <c r="S859" s="12">
        <v>39.332366700551361</v>
      </c>
      <c r="T859" s="16">
        <v>0.93767341520322234</v>
      </c>
      <c r="U859" s="12">
        <v>39.672675658044206</v>
      </c>
    </row>
    <row r="860" spans="1:21" x14ac:dyDescent="0.25">
      <c r="A860" s="4">
        <v>52048</v>
      </c>
      <c r="B860" s="10"/>
      <c r="C860" s="9">
        <v>47.041824853340842</v>
      </c>
      <c r="D860" s="5">
        <f t="shared" si="16"/>
        <v>7</v>
      </c>
      <c r="Q860" s="4">
        <v>52048</v>
      </c>
      <c r="R860" s="12">
        <v>9.5610953538136041</v>
      </c>
      <c r="S860" s="12">
        <v>6.8809260779903596</v>
      </c>
      <c r="T860" s="16">
        <v>0.60279861397682377</v>
      </c>
      <c r="U860" s="12">
        <v>7.9981259518981842</v>
      </c>
    </row>
    <row r="861" spans="1:21" x14ac:dyDescent="0.25">
      <c r="A861" s="4">
        <v>52079</v>
      </c>
      <c r="B861" s="10"/>
      <c r="C861" s="9">
        <v>62.285226502556604</v>
      </c>
      <c r="D861" s="5">
        <f t="shared" si="16"/>
        <v>8</v>
      </c>
      <c r="Q861" s="4">
        <v>52079</v>
      </c>
      <c r="R861" s="12">
        <v>21.409020956528813</v>
      </c>
      <c r="S861" s="12">
        <v>26.414207686378063</v>
      </c>
      <c r="T861" s="16">
        <v>0.92181727242112821</v>
      </c>
      <c r="U861" s="12">
        <v>25.595145845463716</v>
      </c>
    </row>
    <row r="862" spans="1:21" x14ac:dyDescent="0.25">
      <c r="A862" s="4">
        <v>52110</v>
      </c>
      <c r="B862" s="10"/>
      <c r="C862" s="9">
        <v>29.853863017541904</v>
      </c>
      <c r="D862" s="5">
        <f t="shared" si="16"/>
        <v>9</v>
      </c>
      <c r="Q862" s="4">
        <v>52110</v>
      </c>
      <c r="R862" s="12">
        <v>12.042800697044765</v>
      </c>
      <c r="S862" s="12">
        <v>7.6432265034140228</v>
      </c>
      <c r="T862" s="16">
        <v>0.58604554276126219</v>
      </c>
      <c r="U862" s="12">
        <v>6.537398518277775</v>
      </c>
    </row>
    <row r="863" spans="1:21" x14ac:dyDescent="0.25">
      <c r="A863" s="4">
        <v>52140</v>
      </c>
      <c r="B863" s="10"/>
      <c r="C863" s="9">
        <v>19.350662200373986</v>
      </c>
      <c r="D863" s="5">
        <f t="shared" si="16"/>
        <v>10</v>
      </c>
      <c r="Q863" s="4">
        <v>52140</v>
      </c>
      <c r="R863" s="12">
        <v>24.025848016659953</v>
      </c>
      <c r="S863" s="12">
        <v>23.351948051896425</v>
      </c>
      <c r="T863" s="16">
        <v>0.55470274381072937</v>
      </c>
      <c r="U863" s="12">
        <v>23.413576987553242</v>
      </c>
    </row>
    <row r="864" spans="1:21" x14ac:dyDescent="0.25">
      <c r="A864" s="4">
        <v>52171</v>
      </c>
      <c r="B864" s="10"/>
      <c r="C864" s="9">
        <v>38.246852844608775</v>
      </c>
      <c r="D864" s="5">
        <f t="shared" si="16"/>
        <v>11</v>
      </c>
      <c r="Q864" s="4">
        <v>52171</v>
      </c>
      <c r="R864" s="12">
        <v>39.36861401403339</v>
      </c>
      <c r="S864" s="12">
        <v>38.828353481265012</v>
      </c>
      <c r="T864" s="16">
        <v>0.69174355488631356</v>
      </c>
      <c r="U864" s="12">
        <v>38.943919889119769</v>
      </c>
    </row>
    <row r="865" spans="1:21" x14ac:dyDescent="0.25">
      <c r="A865" s="4">
        <v>52201</v>
      </c>
      <c r="B865" s="10"/>
      <c r="C865" s="9">
        <v>4.834885743269874</v>
      </c>
      <c r="D865" s="5">
        <f t="shared" si="16"/>
        <v>12</v>
      </c>
      <c r="Q865" s="4">
        <v>52201</v>
      </c>
      <c r="R865" s="12">
        <v>8.8108142661968945</v>
      </c>
      <c r="S865" s="12">
        <v>11.188284367037642</v>
      </c>
      <c r="T865" s="16">
        <v>0.3561221042545647</v>
      </c>
      <c r="U865" s="12">
        <v>12.69396622391406</v>
      </c>
    </row>
    <row r="866" spans="1:21" x14ac:dyDescent="0.25">
      <c r="A866" s="4">
        <v>52232</v>
      </c>
      <c r="B866" s="10"/>
      <c r="C866" s="9">
        <v>5.4300687548313213</v>
      </c>
      <c r="D866" s="5">
        <f t="shared" si="16"/>
        <v>1</v>
      </c>
      <c r="Q866" s="4">
        <v>52232</v>
      </c>
      <c r="R866" s="12">
        <v>9.3022543295979769</v>
      </c>
      <c r="S866" s="12">
        <v>2.2862708046695364</v>
      </c>
      <c r="T866" s="16">
        <v>0.27466260058708708</v>
      </c>
      <c r="U866" s="12">
        <v>2.2712561388253505</v>
      </c>
    </row>
    <row r="867" spans="1:21" x14ac:dyDescent="0.25">
      <c r="A867" s="4">
        <v>52263</v>
      </c>
      <c r="B867" s="10"/>
      <c r="C867" s="9">
        <v>5.4983216266055235E-2</v>
      </c>
      <c r="D867" s="5">
        <f t="shared" si="16"/>
        <v>2</v>
      </c>
      <c r="Q867" s="4">
        <v>52263</v>
      </c>
      <c r="R867" s="12">
        <v>7.8791394207157153E-2</v>
      </c>
      <c r="S867" s="12">
        <v>0.17957625020061993</v>
      </c>
      <c r="T867" s="16">
        <v>2.7841384368343012E-3</v>
      </c>
      <c r="U867" s="12">
        <v>0.21126267534048365</v>
      </c>
    </row>
    <row r="868" spans="1:21" x14ac:dyDescent="0.25">
      <c r="A868" s="4">
        <v>52291</v>
      </c>
      <c r="B868" s="10"/>
      <c r="C868" s="9">
        <v>71.508306562387403</v>
      </c>
      <c r="D868" s="5">
        <f t="shared" si="16"/>
        <v>3</v>
      </c>
      <c r="Q868" s="4">
        <v>52291</v>
      </c>
      <c r="R868" s="12">
        <v>80.883280452572578</v>
      </c>
      <c r="S868" s="12">
        <v>118.76456326099341</v>
      </c>
      <c r="T868" s="16">
        <v>0.98668284779487048</v>
      </c>
      <c r="U868" s="12">
        <v>114.20119306621507</v>
      </c>
    </row>
    <row r="869" spans="1:21" x14ac:dyDescent="0.25">
      <c r="A869" s="4">
        <v>52322</v>
      </c>
      <c r="B869" s="10"/>
      <c r="C869" s="9">
        <v>67.13657949146959</v>
      </c>
      <c r="D869" s="5">
        <f t="shared" si="16"/>
        <v>4</v>
      </c>
      <c r="Q869" s="4">
        <v>52322</v>
      </c>
      <c r="R869" s="12">
        <v>53.956322026923488</v>
      </c>
      <c r="S869" s="12">
        <v>77.301775637124749</v>
      </c>
      <c r="T869" s="16">
        <v>0.96214021588965171</v>
      </c>
      <c r="U869" s="12">
        <v>70.330906083225017</v>
      </c>
    </row>
    <row r="870" spans="1:21" x14ac:dyDescent="0.25">
      <c r="A870" s="4">
        <v>52352</v>
      </c>
      <c r="B870" s="10"/>
      <c r="C870" s="9">
        <v>18.247209367715737</v>
      </c>
      <c r="D870" s="5">
        <f t="shared" si="16"/>
        <v>5</v>
      </c>
      <c r="Q870" s="4">
        <v>52352</v>
      </c>
      <c r="R870" s="12">
        <v>8.0806929397268465</v>
      </c>
      <c r="S870" s="12">
        <v>4.4625468276885316</v>
      </c>
      <c r="T870" s="16">
        <v>0.27468137504983969</v>
      </c>
      <c r="U870" s="12">
        <v>4.3298238878048645</v>
      </c>
    </row>
    <row r="871" spans="1:21" x14ac:dyDescent="0.25">
      <c r="A871" s="4">
        <v>52383</v>
      </c>
      <c r="B871" s="10"/>
      <c r="C871" s="9">
        <v>30.216718842002955</v>
      </c>
      <c r="D871" s="5">
        <f t="shared" si="16"/>
        <v>6</v>
      </c>
      <c r="Q871" s="4">
        <v>52383</v>
      </c>
      <c r="R871" s="12">
        <v>10.88293898726093</v>
      </c>
      <c r="S871" s="12">
        <v>7.1723979483120033</v>
      </c>
      <c r="T871" s="16">
        <v>0.6036148576267194</v>
      </c>
      <c r="U871" s="12">
        <v>7.7336876346997352</v>
      </c>
    </row>
    <row r="872" spans="1:21" x14ac:dyDescent="0.25">
      <c r="A872" s="4">
        <v>52413</v>
      </c>
      <c r="B872" s="10"/>
      <c r="C872" s="9">
        <v>34.411180776058082</v>
      </c>
      <c r="D872" s="5">
        <f t="shared" si="16"/>
        <v>7</v>
      </c>
      <c r="Q872" s="4">
        <v>52413</v>
      </c>
      <c r="R872" s="12">
        <v>6.9939587093599593</v>
      </c>
      <c r="S872" s="12">
        <v>3.6364361523752091</v>
      </c>
      <c r="T872" s="16">
        <v>0.42169478134766941</v>
      </c>
      <c r="U872" s="12">
        <v>4.2970172270224385</v>
      </c>
    </row>
    <row r="873" spans="1:21" x14ac:dyDescent="0.25">
      <c r="A873" s="4">
        <v>52444</v>
      </c>
      <c r="B873" s="10"/>
      <c r="C873" s="9">
        <v>14.830473530018075</v>
      </c>
      <c r="D873" s="5">
        <f t="shared" si="16"/>
        <v>8</v>
      </c>
      <c r="Q873" s="4">
        <v>52444</v>
      </c>
      <c r="R873" s="12">
        <v>5.0976120089467809</v>
      </c>
      <c r="S873" s="12">
        <v>2.7878704210792011</v>
      </c>
      <c r="T873" s="16">
        <v>0.3839867439170524</v>
      </c>
      <c r="U873" s="12">
        <v>3.3466117921141856</v>
      </c>
    </row>
    <row r="874" spans="1:21" x14ac:dyDescent="0.25">
      <c r="A874" s="4">
        <v>52475</v>
      </c>
      <c r="B874" s="10"/>
      <c r="C874" s="9">
        <v>16.064452675369505</v>
      </c>
      <c r="D874" s="5">
        <f t="shared" si="16"/>
        <v>9</v>
      </c>
      <c r="Q874" s="4">
        <v>52475</v>
      </c>
      <c r="R874" s="12">
        <v>6.4802669511448583</v>
      </c>
      <c r="S874" s="12">
        <v>2.8298424473328678</v>
      </c>
      <c r="T874" s="16">
        <v>0.38707894422439454</v>
      </c>
      <c r="U874" s="12">
        <v>1.6700153007736049</v>
      </c>
    </row>
    <row r="875" spans="1:21" x14ac:dyDescent="0.25">
      <c r="A875" s="4">
        <v>52505</v>
      </c>
      <c r="B875" s="10"/>
      <c r="C875" s="9">
        <v>52.624999379047985</v>
      </c>
      <c r="D875" s="5">
        <f t="shared" si="16"/>
        <v>10</v>
      </c>
      <c r="Q875" s="4">
        <v>52505</v>
      </c>
      <c r="R875" s="12">
        <v>65.339378253080937</v>
      </c>
      <c r="S875" s="12">
        <v>67.069365562366968</v>
      </c>
      <c r="T875" s="16">
        <v>0.91388597282710793</v>
      </c>
      <c r="U875" s="12">
        <v>67.206469631809398</v>
      </c>
    </row>
    <row r="876" spans="1:21" x14ac:dyDescent="0.25">
      <c r="A876" s="4">
        <v>52536</v>
      </c>
      <c r="B876" s="10"/>
      <c r="C876" s="9">
        <v>14.253841761255215</v>
      </c>
      <c r="D876" s="5">
        <f t="shared" si="16"/>
        <v>11</v>
      </c>
      <c r="Q876" s="4">
        <v>52536</v>
      </c>
      <c r="R876" s="12">
        <v>14.671899850056969</v>
      </c>
      <c r="S876" s="12">
        <v>13.956118199203804</v>
      </c>
      <c r="T876" s="16">
        <v>0.39828855049767919</v>
      </c>
      <c r="U876" s="12">
        <v>13.849235055686524</v>
      </c>
    </row>
    <row r="877" spans="1:21" x14ac:dyDescent="0.25">
      <c r="A877" s="4">
        <v>52566</v>
      </c>
      <c r="B877" s="10"/>
      <c r="C877" s="9">
        <v>28.262764556800217</v>
      </c>
      <c r="D877" s="5">
        <f t="shared" si="16"/>
        <v>12</v>
      </c>
      <c r="Q877" s="4">
        <v>52566</v>
      </c>
      <c r="R877" s="12">
        <v>51.504416522324341</v>
      </c>
      <c r="S877" s="12">
        <v>49.023948504436873</v>
      </c>
      <c r="T877" s="16">
        <v>0.84698945598794928</v>
      </c>
      <c r="U877" s="12">
        <v>48.053985294446576</v>
      </c>
    </row>
    <row r="878" spans="1:21" x14ac:dyDescent="0.25">
      <c r="A878" s="4">
        <v>52597</v>
      </c>
      <c r="B878" s="10"/>
      <c r="C878" s="9">
        <v>0.44088269277510872</v>
      </c>
      <c r="D878" s="5">
        <f t="shared" si="16"/>
        <v>1</v>
      </c>
      <c r="Q878" s="4">
        <v>52597</v>
      </c>
      <c r="R878" s="12">
        <v>0.75527642887819546</v>
      </c>
      <c r="S878" s="12">
        <v>2.282625804146815E-2</v>
      </c>
      <c r="T878" s="16">
        <v>2.1759063252021427E-2</v>
      </c>
      <c r="U878" s="12">
        <v>5.2039556670333709E-3</v>
      </c>
    </row>
    <row r="879" spans="1:21" x14ac:dyDescent="0.25">
      <c r="A879" s="4">
        <v>52628</v>
      </c>
      <c r="B879" s="10"/>
      <c r="C879" s="9">
        <v>38.470089008858423</v>
      </c>
      <c r="D879" s="5">
        <f t="shared" si="16"/>
        <v>2</v>
      </c>
      <c r="Q879" s="4">
        <v>52628</v>
      </c>
      <c r="R879" s="12">
        <v>55.127949111130711</v>
      </c>
      <c r="S879" s="12">
        <v>53.672538667569263</v>
      </c>
      <c r="T879" s="16">
        <v>0.84945425427414334</v>
      </c>
      <c r="U879" s="12">
        <v>53.307516491448617</v>
      </c>
    </row>
    <row r="880" spans="1:21" x14ac:dyDescent="0.25">
      <c r="A880" s="4">
        <v>52657</v>
      </c>
      <c r="B880" s="10"/>
      <c r="C880" s="9">
        <v>31.500609381991669</v>
      </c>
      <c r="D880" s="5">
        <f t="shared" si="16"/>
        <v>3</v>
      </c>
      <c r="Q880" s="4">
        <v>52657</v>
      </c>
      <c r="R880" s="12">
        <v>35.630442749300464</v>
      </c>
      <c r="S880" s="12">
        <v>36.23973270602302</v>
      </c>
      <c r="T880" s="16">
        <v>0.78581702214634541</v>
      </c>
      <c r="U880" s="12">
        <v>37.64816849223795</v>
      </c>
    </row>
    <row r="881" spans="1:21" x14ac:dyDescent="0.25">
      <c r="A881" s="4">
        <v>52688</v>
      </c>
      <c r="B881" s="10"/>
      <c r="C881" s="9">
        <v>5.7839178945234986</v>
      </c>
      <c r="D881" s="5">
        <f t="shared" si="16"/>
        <v>4</v>
      </c>
      <c r="Q881" s="4">
        <v>52688</v>
      </c>
      <c r="R881" s="12">
        <v>4.6484187734623577</v>
      </c>
      <c r="S881" s="12">
        <v>1.4811893918706842</v>
      </c>
      <c r="T881" s="16">
        <v>8.5496311158854879E-2</v>
      </c>
      <c r="U881" s="12">
        <v>1.5249269975929594</v>
      </c>
    </row>
    <row r="882" spans="1:21" x14ac:dyDescent="0.25">
      <c r="A882" s="4">
        <v>52718</v>
      </c>
      <c r="B882" s="10"/>
      <c r="C882" s="9">
        <v>28.150751999959347</v>
      </c>
      <c r="D882" s="5">
        <f t="shared" si="16"/>
        <v>5</v>
      </c>
      <c r="Q882" s="4">
        <v>52718</v>
      </c>
      <c r="R882" s="12">
        <v>12.466431351225816</v>
      </c>
      <c r="S882" s="12">
        <v>9.0199428691226426</v>
      </c>
      <c r="T882" s="16">
        <v>0.48100999983050025</v>
      </c>
      <c r="U882" s="12">
        <v>9.4230643644986856</v>
      </c>
    </row>
    <row r="883" spans="1:21" x14ac:dyDescent="0.25">
      <c r="A883" s="4">
        <v>52749</v>
      </c>
      <c r="B883" s="10"/>
      <c r="C883" s="9">
        <v>29.130203189930942</v>
      </c>
      <c r="D883" s="5">
        <f t="shared" si="16"/>
        <v>6</v>
      </c>
      <c r="Q883" s="4">
        <v>52749</v>
      </c>
      <c r="R883" s="12">
        <v>10.491616434602861</v>
      </c>
      <c r="S883" s="12">
        <v>6.7207101934927644</v>
      </c>
      <c r="T883" s="16">
        <v>0.58783652871382142</v>
      </c>
      <c r="U883" s="12">
        <v>7.2080480624400005</v>
      </c>
    </row>
    <row r="884" spans="1:21" x14ac:dyDescent="0.25">
      <c r="A884" s="4">
        <v>52779</v>
      </c>
      <c r="B884" s="10"/>
      <c r="C884" s="9">
        <v>96.736347438674628</v>
      </c>
      <c r="D884" s="5">
        <f t="shared" si="16"/>
        <v>7</v>
      </c>
      <c r="Q884" s="4">
        <v>52779</v>
      </c>
      <c r="R884" s="12">
        <v>19.661342750293521</v>
      </c>
      <c r="S884" s="12">
        <v>29.944277681771165</v>
      </c>
      <c r="T884" s="16">
        <v>0.93624350884074836</v>
      </c>
      <c r="U884" s="12">
        <v>27.877647543249072</v>
      </c>
    </row>
    <row r="885" spans="1:21" x14ac:dyDescent="0.25">
      <c r="A885" s="4">
        <v>52810</v>
      </c>
      <c r="B885" s="10"/>
      <c r="C885" s="9">
        <v>19.722409879431567</v>
      </c>
      <c r="D885" s="5">
        <f t="shared" si="16"/>
        <v>8</v>
      </c>
      <c r="Q885" s="4">
        <v>52810</v>
      </c>
      <c r="R885" s="12">
        <v>6.7790953028752305</v>
      </c>
      <c r="S885" s="12">
        <v>4.35780425339542</v>
      </c>
      <c r="T885" s="16">
        <v>0.49346054411564677</v>
      </c>
      <c r="U885" s="12">
        <v>5.1649852058588133</v>
      </c>
    </row>
    <row r="886" spans="1:21" x14ac:dyDescent="0.25">
      <c r="A886" s="4">
        <v>52841</v>
      </c>
      <c r="B886" s="10"/>
      <c r="C886" s="9">
        <v>40.105680251195558</v>
      </c>
      <c r="D886" s="5">
        <f t="shared" si="16"/>
        <v>9</v>
      </c>
      <c r="Q886" s="4">
        <v>52841</v>
      </c>
      <c r="R886" s="12">
        <v>16.178298728065915</v>
      </c>
      <c r="S886" s="12">
        <v>12.269690080784939</v>
      </c>
      <c r="T886" s="16">
        <v>0.68946758350515858</v>
      </c>
      <c r="U886" s="12">
        <v>11.769272454908512</v>
      </c>
    </row>
    <row r="887" spans="1:21" x14ac:dyDescent="0.25">
      <c r="A887" s="4">
        <v>52871</v>
      </c>
      <c r="B887" s="10"/>
      <c r="C887" s="9">
        <v>79.090636485782284</v>
      </c>
      <c r="D887" s="5">
        <f t="shared" si="16"/>
        <v>10</v>
      </c>
      <c r="Q887" s="4">
        <v>52871</v>
      </c>
      <c r="R887" s="12">
        <v>98.199203317785191</v>
      </c>
      <c r="S887" s="12">
        <v>103.06473613541266</v>
      </c>
      <c r="T887" s="16">
        <v>0.97779108221189459</v>
      </c>
      <c r="U887" s="12">
        <v>102.67896016978732</v>
      </c>
    </row>
    <row r="888" spans="1:21" x14ac:dyDescent="0.25">
      <c r="A888" s="4">
        <v>52902</v>
      </c>
      <c r="B888" s="10"/>
      <c r="C888" s="9">
        <v>30.313208188144287</v>
      </c>
      <c r="D888" s="5">
        <f t="shared" si="16"/>
        <v>11</v>
      </c>
      <c r="Q888" s="4">
        <v>52902</v>
      </c>
      <c r="R888" s="12">
        <v>31.202279506098172</v>
      </c>
      <c r="S888" s="12">
        <v>30.512829665663318</v>
      </c>
      <c r="T888" s="16">
        <v>0.6181506226580481</v>
      </c>
      <c r="U888" s="12">
        <v>30.559860864607366</v>
      </c>
    </row>
    <row r="889" spans="1:21" x14ac:dyDescent="0.25">
      <c r="A889" s="4">
        <v>52932</v>
      </c>
      <c r="B889" s="10"/>
      <c r="C889" s="9">
        <v>10.123785058451656</v>
      </c>
      <c r="D889" s="5">
        <f t="shared" si="16"/>
        <v>12</v>
      </c>
      <c r="Q889" s="4">
        <v>52932</v>
      </c>
      <c r="R889" s="12">
        <v>18.448996430801053</v>
      </c>
      <c r="S889" s="12">
        <v>20.764643457338483</v>
      </c>
      <c r="T889" s="16">
        <v>0.54874634555728652</v>
      </c>
      <c r="U889" s="12">
        <v>21.734743209855274</v>
      </c>
    </row>
    <row r="890" spans="1:21" x14ac:dyDescent="0.25">
      <c r="A890" s="4">
        <v>52963</v>
      </c>
      <c r="B890" s="10"/>
      <c r="C890" s="9">
        <v>124.3529697930587</v>
      </c>
      <c r="D890" s="5">
        <f t="shared" si="16"/>
        <v>1</v>
      </c>
      <c r="Q890" s="4">
        <v>52963</v>
      </c>
      <c r="R890" s="12">
        <v>213.02915375180737</v>
      </c>
      <c r="S890" s="12">
        <v>714.54145290378756</v>
      </c>
      <c r="T890" s="16">
        <v>0.99974260720588581</v>
      </c>
      <c r="U890" s="12">
        <v>411.34050307599904</v>
      </c>
    </row>
    <row r="891" spans="1:21" x14ac:dyDescent="0.25">
      <c r="A891" s="4">
        <v>52994</v>
      </c>
      <c r="B891" s="10"/>
      <c r="C891" s="9">
        <v>13.344686387809153</v>
      </c>
      <c r="D891" s="5">
        <f t="shared" si="16"/>
        <v>2</v>
      </c>
      <c r="Q891" s="4">
        <v>52994</v>
      </c>
      <c r="R891" s="12">
        <v>19.123043669634914</v>
      </c>
      <c r="S891" s="12">
        <v>21.361960743808222</v>
      </c>
      <c r="T891" s="16">
        <v>0.48259253840505462</v>
      </c>
      <c r="U891" s="12">
        <v>20.700406732166904</v>
      </c>
    </row>
    <row r="892" spans="1:21" x14ac:dyDescent="0.25">
      <c r="A892" s="4">
        <v>53022</v>
      </c>
      <c r="B892" s="10"/>
      <c r="C892" s="9">
        <v>18.30143947633761</v>
      </c>
      <c r="D892" s="5">
        <f t="shared" si="16"/>
        <v>3</v>
      </c>
      <c r="Q892" s="4">
        <v>53022</v>
      </c>
      <c r="R892" s="12">
        <v>20.700818310652171</v>
      </c>
      <c r="S892" s="12">
        <v>16.509145063226683</v>
      </c>
      <c r="T892" s="16">
        <v>0.52190669284314928</v>
      </c>
      <c r="U892" s="12">
        <v>16.644768760650695</v>
      </c>
    </row>
    <row r="893" spans="1:21" x14ac:dyDescent="0.25">
      <c r="A893" s="4">
        <v>53053</v>
      </c>
      <c r="B893" s="10"/>
      <c r="C893" s="9">
        <v>39.539416988861177</v>
      </c>
      <c r="D893" s="5">
        <f t="shared" si="16"/>
        <v>4</v>
      </c>
      <c r="Q893" s="4">
        <v>53053</v>
      </c>
      <c r="R893" s="12">
        <v>31.777036184556799</v>
      </c>
      <c r="S893" s="12">
        <v>32.906369162224124</v>
      </c>
      <c r="T893" s="16">
        <v>0.80668454258256461</v>
      </c>
      <c r="U893" s="12">
        <v>34.328234014380484</v>
      </c>
    </row>
    <row r="894" spans="1:21" x14ac:dyDescent="0.25">
      <c r="A894" s="4">
        <v>53083</v>
      </c>
      <c r="B894" s="10"/>
      <c r="C894" s="9">
        <v>16.076178822773056</v>
      </c>
      <c r="D894" s="5">
        <f t="shared" si="16"/>
        <v>5</v>
      </c>
      <c r="Q894" s="4">
        <v>53083</v>
      </c>
      <c r="R894" s="12">
        <v>7.1192620248446641</v>
      </c>
      <c r="S894" s="12">
        <v>3.6332029535105059</v>
      </c>
      <c r="T894" s="16">
        <v>0.2276499462593905</v>
      </c>
      <c r="U894" s="12">
        <v>3.4094344903283034</v>
      </c>
    </row>
    <row r="895" spans="1:21" x14ac:dyDescent="0.25">
      <c r="A895" s="4">
        <v>53114</v>
      </c>
      <c r="B895" s="10"/>
      <c r="C895" s="9">
        <v>29.230919310902497</v>
      </c>
      <c r="D895" s="5">
        <f t="shared" si="16"/>
        <v>6</v>
      </c>
      <c r="Q895" s="4">
        <v>53114</v>
      </c>
      <c r="R895" s="12">
        <v>10.527890637811298</v>
      </c>
      <c r="S895" s="12">
        <v>6.7620395430654989</v>
      </c>
      <c r="T895" s="16">
        <v>0.58932206670275233</v>
      </c>
      <c r="U895" s="12">
        <v>7.25621791386612</v>
      </c>
    </row>
    <row r="896" spans="1:21" x14ac:dyDescent="0.25">
      <c r="A896" s="4">
        <v>53144</v>
      </c>
      <c r="B896" s="10"/>
      <c r="C896" s="9">
        <v>47.73400411843555</v>
      </c>
      <c r="D896" s="5">
        <f t="shared" si="16"/>
        <v>7</v>
      </c>
      <c r="Q896" s="4">
        <v>53144</v>
      </c>
      <c r="R896" s="12">
        <v>9.7017785006969497</v>
      </c>
      <c r="S896" s="12">
        <v>7.0890276047236842</v>
      </c>
      <c r="T896" s="16">
        <v>0.61147800026513965</v>
      </c>
      <c r="U896" s="12">
        <v>8.2232844050394718</v>
      </c>
    </row>
    <row r="897" spans="1:21" x14ac:dyDescent="0.25">
      <c r="A897" s="4">
        <v>53175</v>
      </c>
      <c r="B897" s="10"/>
      <c r="C897" s="9">
        <v>17.84671291534773</v>
      </c>
      <c r="D897" s="5">
        <f t="shared" si="16"/>
        <v>8</v>
      </c>
      <c r="Q897" s="4">
        <v>53175</v>
      </c>
      <c r="R897" s="12">
        <v>6.134370415978978</v>
      </c>
      <c r="S897" s="12">
        <v>3.7261447866862416</v>
      </c>
      <c r="T897" s="16">
        <v>0.45349138131876093</v>
      </c>
      <c r="U897" s="12">
        <v>4.4435230183409926</v>
      </c>
    </row>
    <row r="898" spans="1:21" x14ac:dyDescent="0.25">
      <c r="A898" s="4">
        <v>53206</v>
      </c>
      <c r="B898" s="10"/>
      <c r="C898" s="9">
        <v>14.814935784566163</v>
      </c>
      <c r="D898" s="5">
        <f t="shared" si="16"/>
        <v>9</v>
      </c>
      <c r="Q898" s="4">
        <v>53206</v>
      </c>
      <c r="R898" s="12">
        <v>5.9762222024068539</v>
      </c>
      <c r="S898" s="12">
        <v>2.4853005696321726</v>
      </c>
      <c r="T898" s="16">
        <v>0.36454771507670852</v>
      </c>
      <c r="U898" s="12">
        <v>1.3805189281796542</v>
      </c>
    </row>
    <row r="899" spans="1:21" x14ac:dyDescent="0.25">
      <c r="A899" s="4">
        <v>53236</v>
      </c>
      <c r="B899" s="10"/>
      <c r="C899" s="9">
        <v>26.778047371188364</v>
      </c>
      <c r="D899" s="5">
        <f t="shared" ref="D899:D962" si="17">MONTH(A899)</f>
        <v>10</v>
      </c>
      <c r="Q899" s="4">
        <v>53236</v>
      </c>
      <c r="R899" s="12">
        <v>33.247714711833382</v>
      </c>
      <c r="S899" s="12">
        <v>32.892982809062687</v>
      </c>
      <c r="T899" s="16">
        <v>0.68806151606059318</v>
      </c>
      <c r="U899" s="12">
        <v>33.044947645878423</v>
      </c>
    </row>
    <row r="900" spans="1:21" x14ac:dyDescent="0.25">
      <c r="A900" s="4">
        <v>53267</v>
      </c>
      <c r="B900" s="10"/>
      <c r="C900" s="9">
        <v>0.15540729209668272</v>
      </c>
      <c r="D900" s="5">
        <f t="shared" si="17"/>
        <v>11</v>
      </c>
      <c r="Q900" s="4">
        <v>53267</v>
      </c>
      <c r="R900" s="12">
        <v>0.1599653106721656</v>
      </c>
      <c r="S900" s="12">
        <v>0.12892405926695896</v>
      </c>
      <c r="T900" s="16">
        <v>1.369273602370508E-2</v>
      </c>
      <c r="U900" s="12">
        <v>0.11182475922291994</v>
      </c>
    </row>
    <row r="901" spans="1:21" x14ac:dyDescent="0.25">
      <c r="A901" s="4">
        <v>53297</v>
      </c>
      <c r="B901" s="10"/>
      <c r="C901" s="9">
        <v>5.939482014333028</v>
      </c>
      <c r="D901" s="5">
        <f t="shared" si="17"/>
        <v>12</v>
      </c>
      <c r="Q901" s="4">
        <v>53297</v>
      </c>
      <c r="R901" s="12">
        <v>10.8237661952096</v>
      </c>
      <c r="S901" s="12">
        <v>13.290385448079642</v>
      </c>
      <c r="T901" s="16">
        <v>0.40436920897263667</v>
      </c>
      <c r="U901" s="12">
        <v>14.708476379674607</v>
      </c>
    </row>
    <row r="902" spans="1:21" x14ac:dyDescent="0.25">
      <c r="A902" s="4">
        <v>53328</v>
      </c>
      <c r="B902" s="10"/>
      <c r="C902" s="9">
        <v>12.113764950668035</v>
      </c>
      <c r="D902" s="5">
        <f t="shared" si="17"/>
        <v>1</v>
      </c>
      <c r="Q902" s="4">
        <v>53328</v>
      </c>
      <c r="R902" s="12">
        <v>20.752098646969046</v>
      </c>
      <c r="S902" s="12">
        <v>9.9647824017507638</v>
      </c>
      <c r="T902" s="16">
        <v>0.52641485400121202</v>
      </c>
      <c r="U902" s="12">
        <v>11.883460285393909</v>
      </c>
    </row>
    <row r="903" spans="1:21" x14ac:dyDescent="0.25">
      <c r="A903" s="4">
        <v>53359</v>
      </c>
      <c r="B903" s="10"/>
      <c r="C903" s="9">
        <v>38.749711848612115</v>
      </c>
      <c r="D903" s="5">
        <f t="shared" si="17"/>
        <v>2</v>
      </c>
      <c r="Q903" s="4">
        <v>53359</v>
      </c>
      <c r="R903" s="12">
        <v>55.528650905106332</v>
      </c>
      <c r="S903" s="12">
        <v>54.011847148965899</v>
      </c>
      <c r="T903" s="16">
        <v>0.85150686672727782</v>
      </c>
      <c r="U903" s="12">
        <v>53.659932355363857</v>
      </c>
    </row>
    <row r="904" spans="1:21" x14ac:dyDescent="0.25">
      <c r="A904" s="4">
        <v>53387</v>
      </c>
      <c r="B904" s="10"/>
      <c r="C904" s="9">
        <v>47.831135828668053</v>
      </c>
      <c r="D904" s="5">
        <f t="shared" si="17"/>
        <v>3</v>
      </c>
      <c r="Q904" s="4">
        <v>53387</v>
      </c>
      <c r="R904" s="12">
        <v>54.101954857789423</v>
      </c>
      <c r="S904" s="12">
        <v>66.346742957104098</v>
      </c>
      <c r="T904" s="16">
        <v>0.92825508383182576</v>
      </c>
      <c r="U904" s="12">
        <v>67.384950178422073</v>
      </c>
    </row>
    <row r="905" spans="1:21" x14ac:dyDescent="0.25">
      <c r="A905" s="4">
        <v>53418</v>
      </c>
      <c r="B905" s="10"/>
      <c r="C905" s="9">
        <v>1.3639680903528479</v>
      </c>
      <c r="D905" s="5">
        <f t="shared" si="17"/>
        <v>4</v>
      </c>
      <c r="Q905" s="4">
        <v>53418</v>
      </c>
      <c r="R905" s="12">
        <v>1.096193789957338</v>
      </c>
      <c r="S905" s="12">
        <v>0.14404309074064028</v>
      </c>
      <c r="T905" s="16">
        <v>7.1308240619484082E-3</v>
      </c>
      <c r="U905" s="12">
        <v>9.6666279341781888E-2</v>
      </c>
    </row>
    <row r="906" spans="1:21" x14ac:dyDescent="0.25">
      <c r="A906" s="4">
        <v>53448</v>
      </c>
      <c r="B906" s="10"/>
      <c r="C906" s="9">
        <v>9.1362931679522568</v>
      </c>
      <c r="D906" s="5">
        <f t="shared" si="17"/>
        <v>5</v>
      </c>
      <c r="Q906" s="4">
        <v>53448</v>
      </c>
      <c r="R906" s="12">
        <v>4.0459655068225082</v>
      </c>
      <c r="S906" s="12">
        <v>1.4519707385601288</v>
      </c>
      <c r="T906" s="16">
        <v>8.9118859702058101E-2</v>
      </c>
      <c r="U906" s="12">
        <v>1.1051100005941512</v>
      </c>
    </row>
    <row r="907" spans="1:21" x14ac:dyDescent="0.25">
      <c r="A907" s="4">
        <v>53479</v>
      </c>
      <c r="B907" s="10"/>
      <c r="C907" s="9">
        <v>47.845467042799861</v>
      </c>
      <c r="D907" s="5">
        <f t="shared" si="17"/>
        <v>6</v>
      </c>
      <c r="Q907" s="4">
        <v>53479</v>
      </c>
      <c r="R907" s="12">
        <v>17.232158837841549</v>
      </c>
      <c r="S907" s="12">
        <v>16.225332792187988</v>
      </c>
      <c r="T907" s="16">
        <v>0.79364506896749487</v>
      </c>
      <c r="U907" s="12">
        <v>17.769819142548091</v>
      </c>
    </row>
    <row r="908" spans="1:21" x14ac:dyDescent="0.25">
      <c r="A908" s="4">
        <v>53509</v>
      </c>
      <c r="B908" s="10"/>
      <c r="C908" s="9">
        <v>59.737735880896714</v>
      </c>
      <c r="D908" s="5">
        <f t="shared" si="17"/>
        <v>7</v>
      </c>
      <c r="Q908" s="4">
        <v>53509</v>
      </c>
      <c r="R908" s="12">
        <v>12.141497290099771</v>
      </c>
      <c r="S908" s="12">
        <v>11.202218252407617</v>
      </c>
      <c r="T908" s="16">
        <v>0.74030217349882099</v>
      </c>
      <c r="U908" s="12">
        <v>12.425778527844679</v>
      </c>
    </row>
    <row r="909" spans="1:21" x14ac:dyDescent="0.25">
      <c r="A909" s="4">
        <v>53540</v>
      </c>
      <c r="B909" s="10"/>
      <c r="C909" s="9">
        <v>5.3985111307163676</v>
      </c>
      <c r="D909" s="5">
        <f t="shared" si="17"/>
        <v>8</v>
      </c>
      <c r="Q909" s="4">
        <v>53540</v>
      </c>
      <c r="R909" s="12">
        <v>1.8556059666382803</v>
      </c>
      <c r="S909" s="12">
        <v>0.57223142074906774</v>
      </c>
      <c r="T909" s="16">
        <v>0.13129934359564896</v>
      </c>
      <c r="U909" s="12">
        <v>0.64507222789328122</v>
      </c>
    </row>
    <row r="910" spans="1:21" x14ac:dyDescent="0.25">
      <c r="A910" s="4">
        <v>53571</v>
      </c>
      <c r="B910" s="10"/>
      <c r="C910" s="9">
        <v>13.91040101997892</v>
      </c>
      <c r="D910" s="5">
        <f t="shared" si="17"/>
        <v>9</v>
      </c>
      <c r="Q910" s="4">
        <v>53571</v>
      </c>
      <c r="R910" s="12">
        <v>5.6113403816832932</v>
      </c>
      <c r="S910" s="12">
        <v>2.2465253283856468</v>
      </c>
      <c r="T910" s="16">
        <v>0.34766904248397834</v>
      </c>
      <c r="U910" s="12">
        <v>1.1883936397037989</v>
      </c>
    </row>
    <row r="911" spans="1:21" x14ac:dyDescent="0.25">
      <c r="A911" s="4">
        <v>53601</v>
      </c>
      <c r="B911" s="10"/>
      <c r="C911" s="9">
        <v>4.1033316397339528</v>
      </c>
      <c r="D911" s="5">
        <f t="shared" si="17"/>
        <v>10</v>
      </c>
      <c r="Q911" s="4">
        <v>53601</v>
      </c>
      <c r="R911" s="12">
        <v>5.0947105229450322</v>
      </c>
      <c r="S911" s="12">
        <v>4.550053861737215</v>
      </c>
      <c r="T911" s="16">
        <v>0.12563877819447478</v>
      </c>
      <c r="U911" s="12">
        <v>4.4033613006538985</v>
      </c>
    </row>
    <row r="912" spans="1:21" x14ac:dyDescent="0.25">
      <c r="A912" s="4">
        <v>53632</v>
      </c>
      <c r="B912" s="10"/>
      <c r="C912" s="9">
        <v>6.6788060110066834</v>
      </c>
      <c r="D912" s="5">
        <f t="shared" si="17"/>
        <v>11</v>
      </c>
      <c r="Q912" s="4">
        <v>53632</v>
      </c>
      <c r="R912" s="12">
        <v>6.8746920691800444</v>
      </c>
      <c r="S912" s="12">
        <v>6.3600046512541288</v>
      </c>
      <c r="T912" s="16">
        <v>0.237864819622402</v>
      </c>
      <c r="U912" s="12">
        <v>6.2152662077530962</v>
      </c>
    </row>
    <row r="913" spans="1:21" x14ac:dyDescent="0.25">
      <c r="A913" s="4">
        <v>53662</v>
      </c>
      <c r="B913" s="10"/>
      <c r="C913" s="9">
        <v>43.673767406974811</v>
      </c>
      <c r="D913" s="5">
        <f t="shared" si="17"/>
        <v>12</v>
      </c>
      <c r="Q913" s="4">
        <v>53662</v>
      </c>
      <c r="R913" s="12">
        <v>79.588530807285252</v>
      </c>
      <c r="S913" s="12">
        <v>70.560125444711915</v>
      </c>
      <c r="T913" s="16">
        <v>0.93542173684064567</v>
      </c>
      <c r="U913" s="12">
        <v>68.529967620429787</v>
      </c>
    </row>
    <row r="914" spans="1:21" x14ac:dyDescent="0.25">
      <c r="A914" s="4">
        <v>53693</v>
      </c>
      <c r="B914" s="10"/>
      <c r="C914" s="9">
        <v>16.102308208179476</v>
      </c>
      <c r="D914" s="5">
        <f t="shared" si="17"/>
        <v>1</v>
      </c>
      <c r="Q914" s="4">
        <v>53693</v>
      </c>
      <c r="R914" s="12">
        <v>27.584874705828941</v>
      </c>
      <c r="S914" s="12">
        <v>16.79776690745306</v>
      </c>
      <c r="T914" s="16">
        <v>0.63452678192918166</v>
      </c>
      <c r="U914" s="12">
        <v>20.194301888225016</v>
      </c>
    </row>
    <row r="915" spans="1:21" x14ac:dyDescent="0.25">
      <c r="A915" s="4">
        <v>53724</v>
      </c>
      <c r="B915" s="10"/>
      <c r="C915" s="9">
        <v>18.282373850117882</v>
      </c>
      <c r="D915" s="5">
        <f t="shared" si="17"/>
        <v>2</v>
      </c>
      <c r="Q915" s="4">
        <v>53724</v>
      </c>
      <c r="R915" s="12">
        <v>26.198789792451105</v>
      </c>
      <c r="S915" s="12">
        <v>28.09393845163429</v>
      </c>
      <c r="T915" s="16">
        <v>0.5941525938750305</v>
      </c>
      <c r="U915" s="12">
        <v>27.327903480636909</v>
      </c>
    </row>
    <row r="916" spans="1:21" x14ac:dyDescent="0.25">
      <c r="A916" s="4">
        <v>53752</v>
      </c>
      <c r="B916" s="10"/>
      <c r="C916" s="9">
        <v>22.417328148369961</v>
      </c>
      <c r="D916" s="5">
        <f t="shared" si="17"/>
        <v>3</v>
      </c>
      <c r="Q916" s="4">
        <v>53752</v>
      </c>
      <c r="R916" s="12">
        <v>25.356313507998436</v>
      </c>
      <c r="S916" s="12">
        <v>22.145288504476792</v>
      </c>
      <c r="T916" s="16">
        <v>0.62347351852313559</v>
      </c>
      <c r="U916" s="12">
        <v>22.765071779497145</v>
      </c>
    </row>
    <row r="917" spans="1:21" x14ac:dyDescent="0.25">
      <c r="A917" s="4">
        <v>53783</v>
      </c>
      <c r="B917" s="10"/>
      <c r="C917" s="9">
        <v>4.3717689874629189</v>
      </c>
      <c r="D917" s="5">
        <f t="shared" si="17"/>
        <v>4</v>
      </c>
      <c r="Q917" s="4">
        <v>53783</v>
      </c>
      <c r="R917" s="12">
        <v>3.5135030277322676</v>
      </c>
      <c r="S917" s="12">
        <v>0.94299274748176487</v>
      </c>
      <c r="T917" s="16">
        <v>5.4160612491461924E-2</v>
      </c>
      <c r="U917" s="12">
        <v>0.91120665925917366</v>
      </c>
    </row>
    <row r="918" spans="1:21" x14ac:dyDescent="0.25">
      <c r="A918" s="4">
        <v>53813</v>
      </c>
      <c r="B918" s="10"/>
      <c r="C918" s="9">
        <v>1.235429215979718</v>
      </c>
      <c r="D918" s="5">
        <f t="shared" si="17"/>
        <v>5</v>
      </c>
      <c r="Q918" s="4">
        <v>53813</v>
      </c>
      <c r="R918" s="12">
        <v>0.54710415943176682</v>
      </c>
      <c r="S918" s="12">
        <v>5.6435653000291387E-2</v>
      </c>
      <c r="T918" s="16">
        <v>1.6705004401150858E-3</v>
      </c>
      <c r="U918" s="12">
        <v>1.2085590694983732E-2</v>
      </c>
    </row>
    <row r="919" spans="1:21" x14ac:dyDescent="0.25">
      <c r="A919" s="4">
        <v>53844</v>
      </c>
      <c r="B919" s="10"/>
      <c r="C919" s="9">
        <v>82.357781103892052</v>
      </c>
      <c r="D919" s="5">
        <f t="shared" si="17"/>
        <v>6</v>
      </c>
      <c r="Q919" s="4">
        <v>53844</v>
      </c>
      <c r="R919" s="12">
        <v>29.662211557991789</v>
      </c>
      <c r="S919" s="12">
        <v>42.574375120654253</v>
      </c>
      <c r="T919" s="16">
        <v>0.94590705793699126</v>
      </c>
      <c r="U919" s="12">
        <v>42.43844408613888</v>
      </c>
    </row>
    <row r="920" spans="1:21" x14ac:dyDescent="0.25">
      <c r="A920" s="4">
        <v>53874</v>
      </c>
      <c r="B920" s="10"/>
      <c r="C920" s="9">
        <v>105.28452598350151</v>
      </c>
      <c r="D920" s="5">
        <f t="shared" si="17"/>
        <v>7</v>
      </c>
      <c r="Q920" s="4">
        <v>53874</v>
      </c>
      <c r="R920" s="12">
        <v>21.398731774280527</v>
      </c>
      <c r="S920" s="12">
        <v>35.58988077692176</v>
      </c>
      <c r="T920" s="16">
        <v>0.95498605457120511</v>
      </c>
      <c r="U920" s="12">
        <v>31.812666377845893</v>
      </c>
    </row>
    <row r="921" spans="1:21" x14ac:dyDescent="0.25">
      <c r="A921" s="4">
        <v>53905</v>
      </c>
      <c r="B921" s="10"/>
      <c r="C921" s="9">
        <v>33.00268590002274</v>
      </c>
      <c r="D921" s="5">
        <f t="shared" si="17"/>
        <v>8</v>
      </c>
      <c r="Q921" s="4">
        <v>53905</v>
      </c>
      <c r="R921" s="12">
        <v>11.343864889474602</v>
      </c>
      <c r="S921" s="12">
        <v>9.7638046763499826</v>
      </c>
      <c r="T921" s="16">
        <v>0.71072817858924053</v>
      </c>
      <c r="U921" s="12">
        <v>10.889641941707103</v>
      </c>
    </row>
    <row r="922" spans="1:21" x14ac:dyDescent="0.25">
      <c r="A922" s="4">
        <v>53936</v>
      </c>
      <c r="B922" s="10"/>
      <c r="C922" s="9">
        <v>9.3280064622806176</v>
      </c>
      <c r="D922" s="5">
        <f t="shared" si="17"/>
        <v>9</v>
      </c>
      <c r="Q922" s="4">
        <v>53936</v>
      </c>
      <c r="R922" s="12">
        <v>3.7628404290588358</v>
      </c>
      <c r="S922" s="12">
        <v>1.1837233959206603</v>
      </c>
      <c r="T922" s="16">
        <v>0.25403097227069626</v>
      </c>
      <c r="U922" s="12">
        <v>0.4447652133842479</v>
      </c>
    </row>
    <row r="923" spans="1:21" x14ac:dyDescent="0.25">
      <c r="A923" s="4">
        <v>53966</v>
      </c>
      <c r="B923" s="10"/>
      <c r="C923" s="9">
        <v>13.680315837978426</v>
      </c>
      <c r="D923" s="5">
        <f t="shared" si="17"/>
        <v>10</v>
      </c>
      <c r="Q923" s="4">
        <v>53966</v>
      </c>
      <c r="R923" s="12">
        <v>16.985526683258591</v>
      </c>
      <c r="S923" s="12">
        <v>16.199706306857163</v>
      </c>
      <c r="T923" s="16">
        <v>0.42048975465767752</v>
      </c>
      <c r="U923" s="12">
        <v>16.171901672330776</v>
      </c>
    </row>
    <row r="924" spans="1:21" x14ac:dyDescent="0.25">
      <c r="A924" s="4">
        <v>53997</v>
      </c>
      <c r="B924" s="10"/>
      <c r="C924" s="9">
        <v>44.523711379454987</v>
      </c>
      <c r="D924" s="5">
        <f t="shared" si="17"/>
        <v>11</v>
      </c>
      <c r="Q924" s="4">
        <v>53997</v>
      </c>
      <c r="R924" s="12">
        <v>45.829569687511352</v>
      </c>
      <c r="S924" s="12">
        <v>45.453247164555783</v>
      </c>
      <c r="T924" s="16">
        <v>0.73901433691947749</v>
      </c>
      <c r="U924" s="12">
        <v>45.613807624797708</v>
      </c>
    </row>
    <row r="925" spans="1:21" x14ac:dyDescent="0.25">
      <c r="A925" s="4">
        <v>54027</v>
      </c>
      <c r="B925" s="10"/>
      <c r="C925" s="9">
        <v>12.153006667788537</v>
      </c>
      <c r="D925" s="5">
        <f t="shared" si="17"/>
        <v>12</v>
      </c>
      <c r="Q925" s="4">
        <v>54027</v>
      </c>
      <c r="R925" s="12">
        <v>22.14693173976011</v>
      </c>
      <c r="S925" s="12">
        <v>24.194297927089902</v>
      </c>
      <c r="T925" s="16">
        <v>0.60307154420183251</v>
      </c>
      <c r="U925" s="12">
        <v>24.92486999656726</v>
      </c>
    </row>
    <row r="926" spans="1:21" x14ac:dyDescent="0.25">
      <c r="A926" s="4">
        <v>54058</v>
      </c>
      <c r="B926" s="10"/>
      <c r="C926" s="9">
        <v>9.2624865068895303</v>
      </c>
      <c r="D926" s="5">
        <f t="shared" si="17"/>
        <v>1</v>
      </c>
      <c r="Q926" s="4">
        <v>54058</v>
      </c>
      <c r="R926" s="12">
        <v>15.867571683119968</v>
      </c>
      <c r="S926" s="12">
        <v>6.0902100859268931</v>
      </c>
      <c r="T926" s="16">
        <v>0.43104305954126748</v>
      </c>
      <c r="U926" s="12">
        <v>7.0073001258570171</v>
      </c>
    </row>
    <row r="927" spans="1:21" x14ac:dyDescent="0.25">
      <c r="A927" s="4">
        <v>54089</v>
      </c>
      <c r="B927" s="10"/>
      <c r="C927" s="9">
        <v>15.259994456362239</v>
      </c>
      <c r="D927" s="5">
        <f t="shared" si="17"/>
        <v>2</v>
      </c>
      <c r="Q927" s="4">
        <v>54089</v>
      </c>
      <c r="R927" s="12">
        <v>21.867695643562485</v>
      </c>
      <c r="S927" s="12">
        <v>24.006247165656443</v>
      </c>
      <c r="T927" s="16">
        <v>0.52911858123755628</v>
      </c>
      <c r="U927" s="12">
        <v>23.292539659346588</v>
      </c>
    </row>
    <row r="928" spans="1:21" x14ac:dyDescent="0.25">
      <c r="A928" s="4">
        <v>54118</v>
      </c>
      <c r="B928" s="10"/>
      <c r="C928" s="9">
        <v>10.89188711114779</v>
      </c>
      <c r="D928" s="5">
        <f t="shared" si="17"/>
        <v>3</v>
      </c>
      <c r="Q928" s="4">
        <v>54118</v>
      </c>
      <c r="R928" s="12">
        <v>12.319849290517373</v>
      </c>
      <c r="S928" s="12">
        <v>7.7874790516470824</v>
      </c>
      <c r="T928" s="16">
        <v>0.29518986343727049</v>
      </c>
      <c r="U928" s="12">
        <v>7.138161030098547</v>
      </c>
    </row>
    <row r="929" spans="1:21" x14ac:dyDescent="0.25">
      <c r="A929" s="4">
        <v>54149</v>
      </c>
      <c r="B929" s="10"/>
      <c r="C929" s="9">
        <v>18.319038384340875</v>
      </c>
      <c r="D929" s="5">
        <f t="shared" si="17"/>
        <v>4</v>
      </c>
      <c r="Q929" s="4">
        <v>54149</v>
      </c>
      <c r="R929" s="12">
        <v>14.722643628495529</v>
      </c>
      <c r="S929" s="12">
        <v>9.5122356113448809</v>
      </c>
      <c r="T929" s="16">
        <v>0.42537377325853865</v>
      </c>
      <c r="U929" s="12">
        <v>10.886162980527454</v>
      </c>
    </row>
    <row r="930" spans="1:21" x14ac:dyDescent="0.25">
      <c r="A930" s="4">
        <v>54179</v>
      </c>
      <c r="B930" s="10"/>
      <c r="C930" s="9">
        <v>50.073682079998648</v>
      </c>
      <c r="D930" s="5">
        <f t="shared" si="17"/>
        <v>5</v>
      </c>
      <c r="Q930" s="4">
        <v>54179</v>
      </c>
      <c r="R930" s="12">
        <v>22.174900342069407</v>
      </c>
      <c r="S930" s="12">
        <v>22.970746590689107</v>
      </c>
      <c r="T930" s="16">
        <v>0.79243518442079197</v>
      </c>
      <c r="U930" s="12">
        <v>24.054005597213639</v>
      </c>
    </row>
    <row r="931" spans="1:21" x14ac:dyDescent="0.25">
      <c r="A931" s="4">
        <v>54210</v>
      </c>
      <c r="B931" s="10"/>
      <c r="C931" s="9">
        <v>8.1315400141087437</v>
      </c>
      <c r="D931" s="5">
        <f t="shared" si="17"/>
        <v>6</v>
      </c>
      <c r="Q931" s="4">
        <v>54210</v>
      </c>
      <c r="R931" s="12">
        <v>2.9286784679944531</v>
      </c>
      <c r="S931" s="12">
        <v>0.69673216500071333</v>
      </c>
      <c r="T931" s="16">
        <v>0.17139255549626231</v>
      </c>
      <c r="U931" s="12">
        <v>0.42911633996745546</v>
      </c>
    </row>
    <row r="932" spans="1:21" x14ac:dyDescent="0.25">
      <c r="A932" s="4">
        <v>54240</v>
      </c>
      <c r="B932" s="10"/>
      <c r="C932" s="9">
        <v>75.084469503090773</v>
      </c>
      <c r="D932" s="5">
        <f t="shared" si="17"/>
        <v>7</v>
      </c>
      <c r="Q932" s="4">
        <v>54240</v>
      </c>
      <c r="R932" s="12">
        <v>15.260670153585188</v>
      </c>
      <c r="S932" s="12">
        <v>17.858999808541522</v>
      </c>
      <c r="T932" s="16">
        <v>0.85141523440435363</v>
      </c>
      <c r="U932" s="12">
        <v>18.461665765453805</v>
      </c>
    </row>
    <row r="933" spans="1:21" x14ac:dyDescent="0.25">
      <c r="A933" s="4">
        <v>54271</v>
      </c>
      <c r="B933" s="10"/>
      <c r="C933" s="9">
        <v>5.2447376357482529</v>
      </c>
      <c r="D933" s="5">
        <f t="shared" si="17"/>
        <v>8</v>
      </c>
      <c r="Q933" s="4">
        <v>54271</v>
      </c>
      <c r="R933" s="12">
        <v>1.8027500943682178</v>
      </c>
      <c r="S933" s="12">
        <v>0.54689785408139802</v>
      </c>
      <c r="T933" s="16">
        <v>0.12696284604199182</v>
      </c>
      <c r="U933" s="12">
        <v>0.61410252044509683</v>
      </c>
    </row>
    <row r="934" spans="1:21" x14ac:dyDescent="0.25">
      <c r="A934" s="4">
        <v>54302</v>
      </c>
      <c r="B934" s="10"/>
      <c r="C934" s="9">
        <v>6.2110110614720861</v>
      </c>
      <c r="D934" s="5">
        <f t="shared" si="17"/>
        <v>9</v>
      </c>
      <c r="Q934" s="4">
        <v>54302</v>
      </c>
      <c r="R934" s="12">
        <v>2.505470340521696</v>
      </c>
      <c r="S934" s="12">
        <v>0.61667694258415595</v>
      </c>
      <c r="T934" s="16">
        <v>0.1812788088128493</v>
      </c>
      <c r="U934" s="12">
        <v>0.15596418616766641</v>
      </c>
    </row>
    <row r="935" spans="1:21" x14ac:dyDescent="0.25">
      <c r="A935" s="4">
        <v>54332</v>
      </c>
      <c r="B935" s="10"/>
      <c r="C935" s="9">
        <v>11.993407546691607</v>
      </c>
      <c r="D935" s="5">
        <f t="shared" si="17"/>
        <v>10</v>
      </c>
      <c r="Q935" s="4">
        <v>54332</v>
      </c>
      <c r="R935" s="12">
        <v>14.891055610133385</v>
      </c>
      <c r="S935" s="12">
        <v>14.100531521003749</v>
      </c>
      <c r="T935" s="16">
        <v>0.374509973834868</v>
      </c>
      <c r="U935" s="12">
        <v>14.044876222769293</v>
      </c>
    </row>
    <row r="936" spans="1:21" x14ac:dyDescent="0.25">
      <c r="A936" s="4">
        <v>54363</v>
      </c>
      <c r="B936" s="10"/>
      <c r="C936" s="9">
        <v>2.1545458888852198</v>
      </c>
      <c r="D936" s="5">
        <f t="shared" si="17"/>
        <v>11</v>
      </c>
      <c r="Q936" s="4">
        <v>54363</v>
      </c>
      <c r="R936" s="12">
        <v>2.2177376481056275</v>
      </c>
      <c r="S936" s="12">
        <v>1.9683173656109434</v>
      </c>
      <c r="T936" s="16">
        <v>0.10336070987320904</v>
      </c>
      <c r="U936" s="12">
        <v>1.8650744558408701</v>
      </c>
    </row>
    <row r="937" spans="1:21" x14ac:dyDescent="0.25">
      <c r="A937" s="4">
        <v>54393</v>
      </c>
      <c r="B937" s="10"/>
      <c r="C937" s="9">
        <v>19.221135290400248</v>
      </c>
      <c r="D937" s="5">
        <f t="shared" si="17"/>
        <v>12</v>
      </c>
      <c r="Q937" s="4">
        <v>54393</v>
      </c>
      <c r="R937" s="12">
        <v>35.027477798187562</v>
      </c>
      <c r="S937" s="12">
        <v>35.506372360455302</v>
      </c>
      <c r="T937" s="16">
        <v>0.74146006332832282</v>
      </c>
      <c r="U937" s="12">
        <v>35.424445098182858</v>
      </c>
    </row>
    <row r="938" spans="1:21" x14ac:dyDescent="0.25">
      <c r="A938" s="4">
        <v>54424</v>
      </c>
      <c r="B938" s="10"/>
      <c r="C938" s="9">
        <v>0.38744187480743497</v>
      </c>
      <c r="D938" s="5">
        <f t="shared" si="17"/>
        <v>1</v>
      </c>
      <c r="Q938" s="4">
        <v>54424</v>
      </c>
      <c r="R938" s="12">
        <v>0.66372692872228201</v>
      </c>
      <c r="S938" s="12">
        <v>1.8008542241375072E-2</v>
      </c>
      <c r="T938" s="16">
        <v>1.896579054581949E-2</v>
      </c>
      <c r="U938" s="12">
        <v>3.7484636251251275E-3</v>
      </c>
    </row>
    <row r="939" spans="1:21" x14ac:dyDescent="0.25">
      <c r="A939" s="4">
        <v>54455</v>
      </c>
      <c r="B939" s="10"/>
      <c r="C939" s="9">
        <v>7.6414236035773149</v>
      </c>
      <c r="D939" s="5">
        <f t="shared" si="17"/>
        <v>2</v>
      </c>
      <c r="Q939" s="4">
        <v>54455</v>
      </c>
      <c r="R939" s="12">
        <v>10.950221910263883</v>
      </c>
      <c r="S939" s="12">
        <v>13.150627148281682</v>
      </c>
      <c r="T939" s="16">
        <v>0.31483851887532066</v>
      </c>
      <c r="U939" s="12">
        <v>12.741599277553425</v>
      </c>
    </row>
    <row r="940" spans="1:21" x14ac:dyDescent="0.25">
      <c r="A940" s="4">
        <v>54483</v>
      </c>
      <c r="B940" s="10"/>
      <c r="C940" s="9">
        <v>0.37913507450192591</v>
      </c>
      <c r="D940" s="5">
        <f t="shared" si="17"/>
        <v>3</v>
      </c>
      <c r="Q940" s="4">
        <v>54483</v>
      </c>
      <c r="R940" s="12">
        <v>0.42884092820170477</v>
      </c>
      <c r="S940" s="12">
        <v>6.0246380155650897E-2</v>
      </c>
      <c r="T940" s="16">
        <v>1.3952729251961332E-3</v>
      </c>
      <c r="U940" s="12">
        <v>1.0337022187926563E-2</v>
      </c>
    </row>
    <row r="941" spans="1:21" x14ac:dyDescent="0.25">
      <c r="A941" s="4">
        <v>54514</v>
      </c>
      <c r="B941" s="10"/>
      <c r="C941" s="9">
        <v>25.622629685751114</v>
      </c>
      <c r="D941" s="5">
        <f t="shared" si="17"/>
        <v>4</v>
      </c>
      <c r="Q941" s="4">
        <v>54514</v>
      </c>
      <c r="R941" s="12">
        <v>20.592393431015623</v>
      </c>
      <c r="S941" s="12">
        <v>16.343769657512194</v>
      </c>
      <c r="T941" s="16">
        <v>0.59422920362980025</v>
      </c>
      <c r="U941" s="12">
        <v>18.261144714525493</v>
      </c>
    </row>
    <row r="942" spans="1:21" x14ac:dyDescent="0.25">
      <c r="A942" s="4">
        <v>54544</v>
      </c>
      <c r="B942" s="10"/>
      <c r="C942" s="9">
        <v>42.585216878891408</v>
      </c>
      <c r="D942" s="5">
        <f t="shared" si="17"/>
        <v>5</v>
      </c>
      <c r="Q942" s="4">
        <v>54544</v>
      </c>
      <c r="R942" s="12">
        <v>18.858667889175017</v>
      </c>
      <c r="S942" s="12">
        <v>17.659902237533039</v>
      </c>
      <c r="T942" s="16">
        <v>0.71055239124972835</v>
      </c>
      <c r="U942" s="12">
        <v>18.678376203458541</v>
      </c>
    </row>
    <row r="943" spans="1:21" x14ac:dyDescent="0.25">
      <c r="A943" s="4">
        <v>54575</v>
      </c>
      <c r="B943" s="10"/>
      <c r="C943" s="9">
        <v>93.547828548437067</v>
      </c>
      <c r="D943" s="5">
        <f t="shared" si="17"/>
        <v>6</v>
      </c>
      <c r="Q943" s="4">
        <v>54575</v>
      </c>
      <c r="R943" s="12">
        <v>33.692450719308553</v>
      </c>
      <c r="S943" s="12">
        <v>53.385941644514737</v>
      </c>
      <c r="T943" s="16">
        <v>0.96529697923948921</v>
      </c>
      <c r="U943" s="12">
        <v>51.263371051114795</v>
      </c>
    </row>
    <row r="944" spans="1:21" x14ac:dyDescent="0.25">
      <c r="A944" s="4">
        <v>54605</v>
      </c>
      <c r="B944" s="10"/>
      <c r="C944" s="9">
        <v>52.073184017546474</v>
      </c>
      <c r="D944" s="5">
        <f t="shared" si="17"/>
        <v>7</v>
      </c>
      <c r="Q944" s="4">
        <v>54605</v>
      </c>
      <c r="R944" s="12">
        <v>10.583702467339252</v>
      </c>
      <c r="S944" s="12">
        <v>8.4656909001742022</v>
      </c>
      <c r="T944" s="16">
        <v>0.6627448695599607</v>
      </c>
      <c r="U944" s="12">
        <v>9.6800954522159195</v>
      </c>
    </row>
    <row r="945" spans="1:21" x14ac:dyDescent="0.25">
      <c r="A945" s="4">
        <v>54636</v>
      </c>
      <c r="B945" s="10"/>
      <c r="C945" s="9">
        <v>63.163403712687042</v>
      </c>
      <c r="D945" s="5">
        <f t="shared" si="17"/>
        <v>8</v>
      </c>
      <c r="Q945" s="4">
        <v>54636</v>
      </c>
      <c r="R945" s="12">
        <v>21.710872861883239</v>
      </c>
      <c r="S945" s="12">
        <v>27.000097958995585</v>
      </c>
      <c r="T945" s="16">
        <v>0.92489214273369869</v>
      </c>
      <c r="U945" s="12">
        <v>26.0619672728049</v>
      </c>
    </row>
    <row r="946" spans="1:21" x14ac:dyDescent="0.25">
      <c r="A946" s="4">
        <v>54667</v>
      </c>
      <c r="B946" s="10"/>
      <c r="C946" s="9">
        <v>2.2267628630041973</v>
      </c>
      <c r="D946" s="5">
        <f t="shared" si="17"/>
        <v>9</v>
      </c>
      <c r="Q946" s="4">
        <v>54667</v>
      </c>
      <c r="R946" s="12">
        <v>0.89825766745774882</v>
      </c>
      <c r="S946" s="12">
        <v>0.11906609645723079</v>
      </c>
      <c r="T946" s="16">
        <v>7.383552656005829E-2</v>
      </c>
      <c r="U946" s="12">
        <v>9.6891084962256856E-3</v>
      </c>
    </row>
    <row r="947" spans="1:21" x14ac:dyDescent="0.25">
      <c r="A947" s="4">
        <v>54697</v>
      </c>
      <c r="B947" s="10"/>
      <c r="C947" s="9">
        <v>76.987581681377918</v>
      </c>
      <c r="D947" s="5">
        <f t="shared" si="17"/>
        <v>10</v>
      </c>
      <c r="Q947" s="4">
        <v>54697</v>
      </c>
      <c r="R947" s="12">
        <v>95.588043318291781</v>
      </c>
      <c r="S947" s="12">
        <v>100.17679812727522</v>
      </c>
      <c r="T947" s="16">
        <v>0.97524589069163903</v>
      </c>
      <c r="U947" s="12">
        <v>99.849455524955317</v>
      </c>
    </row>
    <row r="948" spans="1:21" x14ac:dyDescent="0.25">
      <c r="A948" s="4">
        <v>54728</v>
      </c>
      <c r="B948" s="10"/>
      <c r="C948" s="9">
        <v>23.93851702503289</v>
      </c>
      <c r="D948" s="5">
        <f t="shared" si="17"/>
        <v>11</v>
      </c>
      <c r="Q948" s="4">
        <v>54728</v>
      </c>
      <c r="R948" s="12">
        <v>24.640621822031296</v>
      </c>
      <c r="S948" s="12">
        <v>23.888425663680447</v>
      </c>
      <c r="T948" s="16">
        <v>0.54462397566767617</v>
      </c>
      <c r="U948" s="12">
        <v>23.873683321498916</v>
      </c>
    </row>
    <row r="949" spans="1:21" x14ac:dyDescent="0.25">
      <c r="A949" s="4">
        <v>54758</v>
      </c>
      <c r="B949" s="10"/>
      <c r="C949" s="9">
        <v>7.9963819377252321</v>
      </c>
      <c r="D949" s="5">
        <f t="shared" si="17"/>
        <v>12</v>
      </c>
      <c r="Q949" s="4">
        <v>54758</v>
      </c>
      <c r="R949" s="12">
        <v>14.572140852126854</v>
      </c>
      <c r="S949" s="12">
        <v>17.045109928681484</v>
      </c>
      <c r="T949" s="16">
        <v>0.48176811445657508</v>
      </c>
      <c r="U949" s="12">
        <v>18.256745786019547</v>
      </c>
    </row>
    <row r="950" spans="1:21" x14ac:dyDescent="0.25">
      <c r="A950" s="4">
        <v>54789</v>
      </c>
      <c r="B950" s="10"/>
      <c r="C950" s="9">
        <v>16.23787869650814</v>
      </c>
      <c r="D950" s="5">
        <f t="shared" si="17"/>
        <v>1</v>
      </c>
      <c r="Q950" s="4">
        <v>54789</v>
      </c>
      <c r="R950" s="12">
        <v>27.817120597908847</v>
      </c>
      <c r="S950" s="12">
        <v>17.058150147682028</v>
      </c>
      <c r="T950" s="16">
        <v>0.63774603654429352</v>
      </c>
      <c r="U950" s="12">
        <v>20.50251270548641</v>
      </c>
    </row>
    <row r="951" spans="1:21" x14ac:dyDescent="0.25">
      <c r="A951" s="4">
        <v>54820</v>
      </c>
      <c r="B951" s="10"/>
      <c r="C951" s="9">
        <v>3.7259886091699626</v>
      </c>
      <c r="D951" s="5">
        <f t="shared" si="17"/>
        <v>2</v>
      </c>
      <c r="Q951" s="4">
        <v>54820</v>
      </c>
      <c r="R951" s="12">
        <v>5.3393718529654555</v>
      </c>
      <c r="S951" s="12">
        <v>7.0390821912117971</v>
      </c>
      <c r="T951" s="16">
        <v>0.16883124729487026</v>
      </c>
      <c r="U951" s="12">
        <v>6.8925947679229713</v>
      </c>
    </row>
    <row r="952" spans="1:21" x14ac:dyDescent="0.25">
      <c r="A952" s="4">
        <v>54848</v>
      </c>
      <c r="B952" s="10"/>
      <c r="C952" s="9">
        <v>1.8882096197893514</v>
      </c>
      <c r="D952" s="5">
        <f t="shared" si="17"/>
        <v>3</v>
      </c>
      <c r="Q952" s="4">
        <v>54848</v>
      </c>
      <c r="R952" s="12">
        <v>2.1357601035821343</v>
      </c>
      <c r="S952" s="12">
        <v>0.6158553963639426</v>
      </c>
      <c r="T952" s="16">
        <v>2.143067630901372E-2</v>
      </c>
      <c r="U952" s="12">
        <v>0.27291632277178057</v>
      </c>
    </row>
    <row r="953" spans="1:21" x14ac:dyDescent="0.25">
      <c r="A953" s="4">
        <v>54879</v>
      </c>
      <c r="B953" s="10"/>
      <c r="C953" s="9">
        <v>48.635467356723389</v>
      </c>
      <c r="D953" s="5">
        <f t="shared" si="17"/>
        <v>4</v>
      </c>
      <c r="Q953" s="4">
        <v>54879</v>
      </c>
      <c r="R953" s="12">
        <v>39.087349378035022</v>
      </c>
      <c r="S953" s="12">
        <v>45.955641568437017</v>
      </c>
      <c r="T953" s="16">
        <v>0.88506313769700906</v>
      </c>
      <c r="U953" s="12">
        <v>45.742510266519211</v>
      </c>
    </row>
    <row r="954" spans="1:21" x14ac:dyDescent="0.25">
      <c r="A954" s="4">
        <v>54909</v>
      </c>
      <c r="B954" s="10"/>
      <c r="C954" s="9">
        <v>0.99896652168286071</v>
      </c>
      <c r="D954" s="5">
        <f t="shared" si="17"/>
        <v>5</v>
      </c>
      <c r="Q954" s="4">
        <v>54909</v>
      </c>
      <c r="R954" s="12">
        <v>0.44238774029021333</v>
      </c>
      <c r="S954" s="12">
        <v>3.9975530782861805E-2</v>
      </c>
      <c r="T954" s="16">
        <v>1.068112537576709E-3</v>
      </c>
      <c r="U954" s="12">
        <v>7.2996162016781335E-3</v>
      </c>
    </row>
    <row r="955" spans="1:21" x14ac:dyDescent="0.25">
      <c r="A955" s="4">
        <v>54940</v>
      </c>
      <c r="B955" s="10"/>
      <c r="C955" s="9">
        <v>30.42470290673079</v>
      </c>
      <c r="D955" s="5">
        <f t="shared" si="17"/>
        <v>6</v>
      </c>
      <c r="Q955" s="4">
        <v>54940</v>
      </c>
      <c r="R955" s="12">
        <v>10.957847116717037</v>
      </c>
      <c r="S955" s="12">
        <v>7.2603226478722869</v>
      </c>
      <c r="T955" s="16">
        <v>0.60657347547141272</v>
      </c>
      <c r="U955" s="12">
        <v>7.8357912276711605</v>
      </c>
    </row>
    <row r="956" spans="1:21" x14ac:dyDescent="0.25">
      <c r="A956" s="4">
        <v>54970</v>
      </c>
      <c r="B956" s="10"/>
      <c r="C956" s="9">
        <v>78.520655730417417</v>
      </c>
      <c r="D956" s="5">
        <f t="shared" si="17"/>
        <v>7</v>
      </c>
      <c r="Q956" s="4">
        <v>54970</v>
      </c>
      <c r="R956" s="12">
        <v>15.959063642259508</v>
      </c>
      <c r="S956" s="12">
        <v>19.565810649672727</v>
      </c>
      <c r="T956" s="16">
        <v>0.86956527492822866</v>
      </c>
      <c r="U956" s="12">
        <v>19.894255139952506</v>
      </c>
    </row>
    <row r="957" spans="1:21" x14ac:dyDescent="0.25">
      <c r="A957" s="4">
        <v>55001</v>
      </c>
      <c r="B957" s="10"/>
      <c r="C957" s="9">
        <v>33.143231298237311</v>
      </c>
      <c r="D957" s="5">
        <f t="shared" si="17"/>
        <v>8</v>
      </c>
      <c r="Q957" s="4">
        <v>55001</v>
      </c>
      <c r="R957" s="12">
        <v>11.392173927503</v>
      </c>
      <c r="S957" s="12">
        <v>9.8290370003189196</v>
      </c>
      <c r="T957" s="16">
        <v>0.71248368312633148</v>
      </c>
      <c r="U957" s="12">
        <v>10.954670845361278</v>
      </c>
    </row>
    <row r="958" spans="1:21" x14ac:dyDescent="0.25">
      <c r="A958" s="4">
        <v>55032</v>
      </c>
      <c r="B958" s="10"/>
      <c r="C958" s="9">
        <v>83.036563458838557</v>
      </c>
      <c r="D958" s="5">
        <f t="shared" si="17"/>
        <v>9</v>
      </c>
      <c r="Q958" s="4">
        <v>55032</v>
      </c>
      <c r="R958" s="12">
        <v>33.496260893094963</v>
      </c>
      <c r="S958" s="12">
        <v>39.408603773538076</v>
      </c>
      <c r="T958" s="16">
        <v>0.90518371828004351</v>
      </c>
      <c r="U958" s="12">
        <v>42.281504602169605</v>
      </c>
    </row>
    <row r="959" spans="1:21" x14ac:dyDescent="0.25">
      <c r="A959" s="4">
        <v>55062</v>
      </c>
      <c r="B959" s="10"/>
      <c r="C959" s="9">
        <v>0.41443210031560146</v>
      </c>
      <c r="D959" s="5">
        <f t="shared" si="17"/>
        <v>10</v>
      </c>
      <c r="Q959" s="4">
        <v>55062</v>
      </c>
      <c r="R959" s="12">
        <v>0.51456030560108557</v>
      </c>
      <c r="S959" s="12">
        <v>0.40551957406646727</v>
      </c>
      <c r="T959" s="16">
        <v>8.4677748630971588E-3</v>
      </c>
      <c r="U959" s="12">
        <v>0.35441139700725716</v>
      </c>
    </row>
    <row r="960" spans="1:21" x14ac:dyDescent="0.25">
      <c r="A960" s="4">
        <v>55093</v>
      </c>
      <c r="B960" s="10"/>
      <c r="C960" s="9">
        <v>8.7701476917611263</v>
      </c>
      <c r="D960" s="5">
        <f t="shared" si="17"/>
        <v>11</v>
      </c>
      <c r="Q960" s="4">
        <v>55093</v>
      </c>
      <c r="R960" s="12">
        <v>9.0273717611690572</v>
      </c>
      <c r="S960" s="12">
        <v>8.4353726280707928</v>
      </c>
      <c r="T960" s="16">
        <v>0.28794138067278341</v>
      </c>
      <c r="U960" s="12">
        <v>8.2939599798095855</v>
      </c>
    </row>
    <row r="961" spans="1:21" x14ac:dyDescent="0.25">
      <c r="A961" s="4">
        <v>55123</v>
      </c>
      <c r="B961" s="10"/>
      <c r="C961" s="9">
        <v>70.739178979278336</v>
      </c>
      <c r="D961" s="5">
        <f t="shared" si="17"/>
        <v>12</v>
      </c>
      <c r="Q961" s="4">
        <v>55123</v>
      </c>
      <c r="R961" s="12">
        <v>128.91096096681665</v>
      </c>
      <c r="S961" s="12">
        <v>105.63504686972317</v>
      </c>
      <c r="T961" s="16">
        <v>0.98512836950329064</v>
      </c>
      <c r="U961" s="12">
        <v>102.93595377099753</v>
      </c>
    </row>
    <row r="962" spans="1:21" x14ac:dyDescent="0.25">
      <c r="A962" s="4">
        <v>55154</v>
      </c>
      <c r="B962" s="10"/>
      <c r="C962" s="9">
        <v>45.74198747192208</v>
      </c>
      <c r="D962" s="5">
        <f t="shared" si="17"/>
        <v>1</v>
      </c>
      <c r="Q962" s="4">
        <v>55154</v>
      </c>
      <c r="R962" s="12">
        <v>78.360628606501194</v>
      </c>
      <c r="S962" s="12">
        <v>114.06376051096416</v>
      </c>
      <c r="T962" s="16">
        <v>0.94872681474360443</v>
      </c>
      <c r="U962" s="12">
        <v>109.42486937150339</v>
      </c>
    </row>
    <row r="963" spans="1:21" x14ac:dyDescent="0.25">
      <c r="A963" s="4">
        <v>55185</v>
      </c>
      <c r="B963" s="10"/>
      <c r="C963" s="9">
        <v>1.7146054589366084</v>
      </c>
      <c r="D963" s="5">
        <f t="shared" ref="D963:D1026" si="18">MONTH(A963)</f>
        <v>2</v>
      </c>
      <c r="Q963" s="4">
        <v>55185</v>
      </c>
      <c r="R963" s="12">
        <v>2.45704350889749</v>
      </c>
      <c r="S963" s="12">
        <v>3.5826624267630294</v>
      </c>
      <c r="T963" s="16">
        <v>8.1858558410195639E-2</v>
      </c>
      <c r="U963" s="12">
        <v>3.5862063104985871</v>
      </c>
    </row>
    <row r="964" spans="1:21" x14ac:dyDescent="0.25">
      <c r="A964" s="4">
        <v>55213</v>
      </c>
      <c r="B964" s="10"/>
      <c r="C964" s="9">
        <v>4.9890284225991266</v>
      </c>
      <c r="D964" s="5">
        <f t="shared" si="18"/>
        <v>3</v>
      </c>
      <c r="Q964" s="4">
        <v>55213</v>
      </c>
      <c r="R964" s="12">
        <v>5.6431064374162201</v>
      </c>
      <c r="S964" s="12">
        <v>2.5144165798468436</v>
      </c>
      <c r="T964" s="16">
        <v>0.10031271936136943</v>
      </c>
      <c r="U964" s="12">
        <v>1.7794171824787488</v>
      </c>
    </row>
    <row r="965" spans="1:21" x14ac:dyDescent="0.25">
      <c r="A965" s="4">
        <v>55244</v>
      </c>
      <c r="B965" s="10"/>
      <c r="C965" s="9">
        <v>2.5735829316038767</v>
      </c>
      <c r="D965" s="5">
        <f t="shared" si="18"/>
        <v>4</v>
      </c>
      <c r="Q965" s="4">
        <v>55244</v>
      </c>
      <c r="R965" s="12">
        <v>2.0683369702839318</v>
      </c>
      <c r="S965" s="12">
        <v>0.40113652542402572</v>
      </c>
      <c r="T965" s="16">
        <v>2.1956095657550332E-2</v>
      </c>
      <c r="U965" s="12">
        <v>0.33387751026624457</v>
      </c>
    </row>
    <row r="966" spans="1:21" x14ac:dyDescent="0.25">
      <c r="A966" s="4">
        <v>55274</v>
      </c>
      <c r="B966" s="10"/>
      <c r="C966" s="9">
        <v>21.525337755055439</v>
      </c>
      <c r="D966" s="5">
        <f t="shared" si="18"/>
        <v>5</v>
      </c>
      <c r="Q966" s="4">
        <v>55274</v>
      </c>
      <c r="R966" s="12">
        <v>9.5323970541083725</v>
      </c>
      <c r="S966" s="12">
        <v>5.835076975054184</v>
      </c>
      <c r="T966" s="16">
        <v>0.34557175841158239</v>
      </c>
      <c r="U966" s="12">
        <v>5.8666220815515997</v>
      </c>
    </row>
    <row r="967" spans="1:21" x14ac:dyDescent="0.25">
      <c r="A967" s="4">
        <v>55305</v>
      </c>
      <c r="B967" s="10"/>
      <c r="C967" s="9">
        <v>48.166552592695112</v>
      </c>
      <c r="D967" s="5">
        <f t="shared" si="18"/>
        <v>6</v>
      </c>
      <c r="Q967" s="4">
        <v>55305</v>
      </c>
      <c r="R967" s="12">
        <v>17.347801918331935</v>
      </c>
      <c r="S967" s="12">
        <v>16.419246456903014</v>
      </c>
      <c r="T967" s="16">
        <v>0.79613822817652791</v>
      </c>
      <c r="U967" s="12">
        <v>17.974029660217695</v>
      </c>
    </row>
    <row r="968" spans="1:21" x14ac:dyDescent="0.25">
      <c r="A968" s="4">
        <v>55335</v>
      </c>
      <c r="B968" s="10"/>
      <c r="C968" s="9">
        <v>37.792966385398017</v>
      </c>
      <c r="D968" s="5">
        <f t="shared" si="18"/>
        <v>7</v>
      </c>
      <c r="Q968" s="4">
        <v>55335</v>
      </c>
      <c r="R968" s="12">
        <v>7.6812954523085581</v>
      </c>
      <c r="S968" s="12">
        <v>4.4026924783777357</v>
      </c>
      <c r="T968" s="16">
        <v>0.47407683431839381</v>
      </c>
      <c r="U968" s="12">
        <v>5.2054070157877899</v>
      </c>
    </row>
    <row r="969" spans="1:21" x14ac:dyDescent="0.25">
      <c r="A969" s="4">
        <v>55366</v>
      </c>
      <c r="B969" s="10"/>
      <c r="C969" s="9">
        <v>32.812778794850857</v>
      </c>
      <c r="D969" s="5">
        <f t="shared" si="18"/>
        <v>8</v>
      </c>
      <c r="Q969" s="4">
        <v>55366</v>
      </c>
      <c r="R969" s="12">
        <v>11.278588973776491</v>
      </c>
      <c r="S969" s="12">
        <v>9.6759116907068137</v>
      </c>
      <c r="T969" s="16">
        <v>0.70834029507597951</v>
      </c>
      <c r="U969" s="12">
        <v>10.801893325037479</v>
      </c>
    </row>
    <row r="970" spans="1:21" x14ac:dyDescent="0.25">
      <c r="A970" s="4">
        <v>55397</v>
      </c>
      <c r="B970" s="10"/>
      <c r="C970" s="9">
        <v>5.4621739541583851</v>
      </c>
      <c r="D970" s="5">
        <f t="shared" si="18"/>
        <v>9</v>
      </c>
      <c r="Q970" s="4">
        <v>55397</v>
      </c>
      <c r="R970" s="12">
        <v>2.2033956631966389</v>
      </c>
      <c r="S970" s="12">
        <v>0.50187604484541815</v>
      </c>
      <c r="T970" s="16">
        <v>0.16248928924958075</v>
      </c>
      <c r="U970" s="12">
        <v>0.11112357604896003</v>
      </c>
    </row>
    <row r="971" spans="1:21" x14ac:dyDescent="0.25">
      <c r="A971" s="4">
        <v>55427</v>
      </c>
      <c r="B971" s="10"/>
      <c r="C971" s="9">
        <v>2.5350777286852733</v>
      </c>
      <c r="D971" s="5">
        <f t="shared" si="18"/>
        <v>10</v>
      </c>
      <c r="Q971" s="4">
        <v>55427</v>
      </c>
      <c r="R971" s="12">
        <v>3.1475611319717394</v>
      </c>
      <c r="S971" s="12">
        <v>2.7381728360869793</v>
      </c>
      <c r="T971" s="16">
        <v>7.2940953323507599E-2</v>
      </c>
      <c r="U971" s="12">
        <v>2.602667228126319</v>
      </c>
    </row>
    <row r="972" spans="1:21" x14ac:dyDescent="0.25">
      <c r="A972" s="4">
        <v>55458</v>
      </c>
      <c r="B972" s="10"/>
      <c r="C972" s="9">
        <v>8.9487373156930392</v>
      </c>
      <c r="D972" s="5">
        <f t="shared" si="18"/>
        <v>11</v>
      </c>
      <c r="Q972" s="4">
        <v>55458</v>
      </c>
      <c r="R972" s="12">
        <v>9.2111993299379709</v>
      </c>
      <c r="S972" s="12">
        <v>8.6135106531227823</v>
      </c>
      <c r="T972" s="16">
        <v>0.29197593788366683</v>
      </c>
      <c r="U972" s="12">
        <v>8.4727303256007076</v>
      </c>
    </row>
    <row r="973" spans="1:21" x14ac:dyDescent="0.25">
      <c r="A973" s="4">
        <v>55488</v>
      </c>
      <c r="B973" s="10"/>
      <c r="C973" s="9">
        <v>11.807352755717385</v>
      </c>
      <c r="D973" s="5">
        <f t="shared" si="18"/>
        <v>12</v>
      </c>
      <c r="Q973" s="4">
        <v>55488</v>
      </c>
      <c r="R973" s="12">
        <v>21.517032176180436</v>
      </c>
      <c r="S973" s="12">
        <v>23.617152090378958</v>
      </c>
      <c r="T973" s="16">
        <v>0.59438984701340625</v>
      </c>
      <c r="U973" s="12">
        <v>24.388722619350613</v>
      </c>
    </row>
    <row r="974" spans="1:21" x14ac:dyDescent="0.25">
      <c r="A974" s="4">
        <v>55519</v>
      </c>
      <c r="B974" s="10"/>
      <c r="C974" s="9">
        <v>0.3309601435629636</v>
      </c>
      <c r="D974" s="5">
        <f t="shared" si="18"/>
        <v>1</v>
      </c>
      <c r="Q974" s="4">
        <v>55519</v>
      </c>
      <c r="R974" s="12">
        <v>0.56696803804624785</v>
      </c>
      <c r="S974" s="12">
        <v>1.3487435845157145E-2</v>
      </c>
      <c r="T974" s="16">
        <v>1.6035236316639608E-2</v>
      </c>
      <c r="U974" s="12">
        <v>2.5106909529292454E-3</v>
      </c>
    </row>
    <row r="975" spans="1:21" x14ac:dyDescent="0.25">
      <c r="A975" s="4">
        <v>55550</v>
      </c>
      <c r="B975" s="10"/>
      <c r="C975" s="9">
        <v>37.581830915127725</v>
      </c>
      <c r="D975" s="5">
        <f t="shared" si="18"/>
        <v>2</v>
      </c>
      <c r="Q975" s="4">
        <v>55550</v>
      </c>
      <c r="R975" s="12">
        <v>53.85506806899275</v>
      </c>
      <c r="S975" s="12">
        <v>52.592543226063974</v>
      </c>
      <c r="T975" s="16">
        <v>0.84274358527109117</v>
      </c>
      <c r="U975" s="12">
        <v>52.187067539731267</v>
      </c>
    </row>
    <row r="976" spans="1:21" x14ac:dyDescent="0.25">
      <c r="A976" s="4">
        <v>55579</v>
      </c>
      <c r="B976" s="10"/>
      <c r="C976" s="9">
        <v>20.871380257966781</v>
      </c>
      <c r="D976" s="5">
        <f t="shared" si="18"/>
        <v>3</v>
      </c>
      <c r="Q976" s="4">
        <v>55579</v>
      </c>
      <c r="R976" s="12">
        <v>23.607686770831183</v>
      </c>
      <c r="S976" s="12">
        <v>19.968688901141419</v>
      </c>
      <c r="T976" s="16">
        <v>0.58751681683971702</v>
      </c>
      <c r="U976" s="12">
        <v>20.410831541585477</v>
      </c>
    </row>
    <row r="977" spans="1:21" x14ac:dyDescent="0.25">
      <c r="A977" s="4">
        <v>55610</v>
      </c>
      <c r="B977" s="10"/>
      <c r="C977" s="9">
        <v>19.996886196639785</v>
      </c>
      <c r="D977" s="5">
        <f t="shared" si="18"/>
        <v>4</v>
      </c>
      <c r="Q977" s="4">
        <v>55610</v>
      </c>
      <c r="R977" s="12">
        <v>16.071096253849671</v>
      </c>
      <c r="S977" s="12">
        <v>10.956669074523916</v>
      </c>
      <c r="T977" s="16">
        <v>0.46767142856681126</v>
      </c>
      <c r="U977" s="12">
        <v>12.492025377496944</v>
      </c>
    </row>
    <row r="978" spans="1:21" x14ac:dyDescent="0.25">
      <c r="A978" s="4">
        <v>55640</v>
      </c>
      <c r="B978" s="10"/>
      <c r="C978" s="9">
        <v>96.004518697815982</v>
      </c>
      <c r="D978" s="5">
        <f t="shared" si="18"/>
        <v>5</v>
      </c>
      <c r="Q978" s="4">
        <v>55640</v>
      </c>
      <c r="R978" s="12">
        <v>42.515160580986496</v>
      </c>
      <c r="S978" s="12">
        <v>66.0692117785931</v>
      </c>
      <c r="T978" s="16">
        <v>0.97872007131362249</v>
      </c>
      <c r="U978" s="12">
        <v>61.678272289450831</v>
      </c>
    </row>
    <row r="979" spans="1:21" x14ac:dyDescent="0.25">
      <c r="A979" s="4">
        <v>55671</v>
      </c>
      <c r="B979" s="10"/>
      <c r="C979" s="9">
        <v>83.204816084904209</v>
      </c>
      <c r="D979" s="5">
        <f t="shared" si="18"/>
        <v>6</v>
      </c>
      <c r="Q979" s="4">
        <v>55671</v>
      </c>
      <c r="R979" s="12">
        <v>29.967282074305331</v>
      </c>
      <c r="S979" s="12">
        <v>43.355246528938125</v>
      </c>
      <c r="T979" s="16">
        <v>0.94768774492973618</v>
      </c>
      <c r="U979" s="12">
        <v>43.095756503528342</v>
      </c>
    </row>
    <row r="980" spans="1:21" x14ac:dyDescent="0.25">
      <c r="A980" s="4">
        <v>55701</v>
      </c>
      <c r="B980" s="10"/>
      <c r="C980" s="9">
        <v>80.083372776113251</v>
      </c>
      <c r="D980" s="5">
        <f t="shared" si="18"/>
        <v>7</v>
      </c>
      <c r="Q980" s="4">
        <v>55701</v>
      </c>
      <c r="R980" s="12">
        <v>16.276680714545911</v>
      </c>
      <c r="S980" s="12">
        <v>20.368319174146148</v>
      </c>
      <c r="T980" s="16">
        <v>0.87713685681267273</v>
      </c>
      <c r="U980" s="12">
        <v>20.554295706217829</v>
      </c>
    </row>
    <row r="981" spans="1:21" x14ac:dyDescent="0.25">
      <c r="A981" s="4">
        <v>55732</v>
      </c>
      <c r="B981" s="10"/>
      <c r="C981" s="9">
        <v>76.481701185296274</v>
      </c>
      <c r="D981" s="5">
        <f t="shared" si="18"/>
        <v>8</v>
      </c>
      <c r="Q981" s="4">
        <v>55732</v>
      </c>
      <c r="R981" s="12">
        <v>26.288711391292328</v>
      </c>
      <c r="S981" s="12">
        <v>36.438934243486514</v>
      </c>
      <c r="T981" s="16">
        <v>0.95929737738259646</v>
      </c>
      <c r="U981" s="12">
        <v>33.261978177738023</v>
      </c>
    </row>
    <row r="982" spans="1:21" x14ac:dyDescent="0.25">
      <c r="A982" s="4">
        <v>55763</v>
      </c>
      <c r="B982" s="10"/>
      <c r="C982" s="9">
        <v>4.8362914614764927</v>
      </c>
      <c r="D982" s="5">
        <f t="shared" si="18"/>
        <v>9</v>
      </c>
      <c r="Q982" s="4">
        <v>55763</v>
      </c>
      <c r="R982" s="12">
        <v>1.9509198574790103</v>
      </c>
      <c r="S982" s="12">
        <v>0.41290961935857096</v>
      </c>
      <c r="T982" s="16">
        <v>0.14634165251446671</v>
      </c>
      <c r="U982" s="12">
        <v>8.0367147438463821E-2</v>
      </c>
    </row>
    <row r="983" spans="1:21" x14ac:dyDescent="0.25">
      <c r="A983" s="4">
        <v>55793</v>
      </c>
      <c r="B983" s="10"/>
      <c r="C983" s="9">
        <v>61.880499330187924</v>
      </c>
      <c r="D983" s="5">
        <f t="shared" si="18"/>
        <v>10</v>
      </c>
      <c r="Q983" s="4">
        <v>55793</v>
      </c>
      <c r="R983" s="12">
        <v>76.831038478537934</v>
      </c>
      <c r="S983" s="12">
        <v>79.565468996389313</v>
      </c>
      <c r="T983" s="16">
        <v>0.94623648967347906</v>
      </c>
      <c r="U983" s="12">
        <v>79.574050575244613</v>
      </c>
    </row>
    <row r="984" spans="1:21" x14ac:dyDescent="0.25">
      <c r="A984" s="4">
        <v>55824</v>
      </c>
      <c r="B984" s="10"/>
      <c r="C984" s="9">
        <v>7.2259364166969684</v>
      </c>
      <c r="D984" s="5">
        <f t="shared" si="18"/>
        <v>11</v>
      </c>
      <c r="Q984" s="4">
        <v>55824</v>
      </c>
      <c r="R984" s="12">
        <v>7.4378695375190773</v>
      </c>
      <c r="S984" s="12">
        <v>6.9009169089102418</v>
      </c>
      <c r="T984" s="16">
        <v>0.25150562767745394</v>
      </c>
      <c r="U984" s="12">
        <v>6.756224849100029</v>
      </c>
    </row>
    <row r="985" spans="1:21" x14ac:dyDescent="0.25">
      <c r="A985" s="4">
        <v>55854</v>
      </c>
      <c r="B985" s="10"/>
      <c r="C985" s="9">
        <v>16.574940891708518</v>
      </c>
      <c r="D985" s="5">
        <f t="shared" si="18"/>
        <v>12</v>
      </c>
      <c r="Q985" s="4">
        <v>55854</v>
      </c>
      <c r="R985" s="12">
        <v>30.205207201291266</v>
      </c>
      <c r="S985" s="12">
        <v>31.367546731455988</v>
      </c>
      <c r="T985" s="16">
        <v>0.69723313575852619</v>
      </c>
      <c r="U985" s="12">
        <v>31.580779692500258</v>
      </c>
    </row>
    <row r="986" spans="1:21" x14ac:dyDescent="0.25">
      <c r="A986" s="4">
        <v>55885</v>
      </c>
      <c r="B986" s="10"/>
      <c r="C986" s="9">
        <v>0.49318708601427819</v>
      </c>
      <c r="D986" s="5">
        <f t="shared" si="18"/>
        <v>1</v>
      </c>
      <c r="Q986" s="4">
        <v>55885</v>
      </c>
      <c r="R986" s="12">
        <v>0.84487911908965174</v>
      </c>
      <c r="S986" s="12">
        <v>2.8039038430712374E-2</v>
      </c>
      <c r="T986" s="16">
        <v>2.4508739568964457E-2</v>
      </c>
      <c r="U986" s="12">
        <v>6.9141831135917931E-3</v>
      </c>
    </row>
    <row r="987" spans="1:21" x14ac:dyDescent="0.25">
      <c r="A987" s="4">
        <v>55916</v>
      </c>
      <c r="B987" s="10"/>
      <c r="C987" s="9">
        <v>57.150987727471531</v>
      </c>
      <c r="D987" s="5">
        <f t="shared" si="18"/>
        <v>2</v>
      </c>
      <c r="Q987" s="4">
        <v>55916</v>
      </c>
      <c r="R987" s="12">
        <v>81.897828267707439</v>
      </c>
      <c r="S987" s="12">
        <v>75.741269841109258</v>
      </c>
      <c r="T987" s="16">
        <v>0.93981719144569298</v>
      </c>
      <c r="U987" s="12">
        <v>76.601704071304169</v>
      </c>
    </row>
    <row r="988" spans="1:21" x14ac:dyDescent="0.25">
      <c r="A988" s="4">
        <v>55944</v>
      </c>
      <c r="B988" s="10"/>
      <c r="C988" s="9">
        <v>3.4203247272216388</v>
      </c>
      <c r="D988" s="5">
        <f t="shared" si="18"/>
        <v>3</v>
      </c>
      <c r="Q988" s="4">
        <v>55944</v>
      </c>
      <c r="R988" s="12">
        <v>3.8687405344912751</v>
      </c>
      <c r="S988" s="12">
        <v>1.4556542649772242</v>
      </c>
      <c r="T988" s="16">
        <v>5.6063835620418848E-2</v>
      </c>
      <c r="U988" s="12">
        <v>0.87219789623685506</v>
      </c>
    </row>
    <row r="989" spans="1:21" x14ac:dyDescent="0.25">
      <c r="A989" s="4">
        <v>55975</v>
      </c>
      <c r="B989" s="10"/>
      <c r="C989" s="9">
        <v>87.824925481065819</v>
      </c>
      <c r="D989" s="5">
        <f t="shared" si="18"/>
        <v>4</v>
      </c>
      <c r="Q989" s="4">
        <v>55975</v>
      </c>
      <c r="R989" s="12">
        <v>70.583130644137867</v>
      </c>
      <c r="S989" s="12">
        <v>119.22767188450923</v>
      </c>
      <c r="T989" s="16">
        <v>0.98964146636939787</v>
      </c>
      <c r="U989" s="12">
        <v>99.232854801024502</v>
      </c>
    </row>
    <row r="990" spans="1:21" x14ac:dyDescent="0.25">
      <c r="A990" s="4">
        <v>56005</v>
      </c>
      <c r="B990" s="10"/>
      <c r="C990" s="9">
        <v>14.459107812115459</v>
      </c>
      <c r="D990" s="5">
        <f t="shared" si="18"/>
        <v>5</v>
      </c>
      <c r="Q990" s="4">
        <v>56005</v>
      </c>
      <c r="R990" s="12">
        <v>6.4031495478334151</v>
      </c>
      <c r="S990" s="12">
        <v>3.0588596092076261</v>
      </c>
      <c r="T990" s="16">
        <v>0.19316237035896133</v>
      </c>
      <c r="U990" s="12">
        <v>2.7803159624806644</v>
      </c>
    </row>
    <row r="991" spans="1:21" x14ac:dyDescent="0.25">
      <c r="A991" s="4">
        <v>56036</v>
      </c>
      <c r="B991" s="10"/>
      <c r="C991" s="9">
        <v>74.208131660161513</v>
      </c>
      <c r="D991" s="5">
        <f t="shared" si="18"/>
        <v>6</v>
      </c>
      <c r="Q991" s="4">
        <v>56036</v>
      </c>
      <c r="R991" s="12">
        <v>26.727010746565586</v>
      </c>
      <c r="S991" s="12">
        <v>35.380755326321442</v>
      </c>
      <c r="T991" s="16">
        <v>0.92544346615418049</v>
      </c>
      <c r="U991" s="12">
        <v>36.216212017662528</v>
      </c>
    </row>
    <row r="992" spans="1:21" x14ac:dyDescent="0.25">
      <c r="A992" s="4">
        <v>56066</v>
      </c>
      <c r="B992" s="10"/>
      <c r="C992" s="9">
        <v>31.552725031837475</v>
      </c>
      <c r="D992" s="5">
        <f t="shared" si="18"/>
        <v>7</v>
      </c>
      <c r="Q992" s="4">
        <v>56066</v>
      </c>
      <c r="R992" s="12">
        <v>6.4129870310640111</v>
      </c>
      <c r="S992" s="12">
        <v>3.0468584060376034</v>
      </c>
      <c r="T992" s="16">
        <v>0.37572649706470779</v>
      </c>
      <c r="U992" s="12">
        <v>3.5831483672997138</v>
      </c>
    </row>
    <row r="993" spans="1:21" x14ac:dyDescent="0.25">
      <c r="A993" s="4">
        <v>56097</v>
      </c>
      <c r="B993" s="10"/>
      <c r="C993" s="9">
        <v>67.938585085870201</v>
      </c>
      <c r="D993" s="5">
        <f t="shared" si="18"/>
        <v>8</v>
      </c>
      <c r="Q993" s="4">
        <v>56097</v>
      </c>
      <c r="R993" s="12">
        <v>23.35222449260273</v>
      </c>
      <c r="S993" s="12">
        <v>30.266385758179947</v>
      </c>
      <c r="T993" s="16">
        <v>0.93965252994802151</v>
      </c>
      <c r="U993" s="12">
        <v>28.618732780362841</v>
      </c>
    </row>
    <row r="994" spans="1:21" x14ac:dyDescent="0.25">
      <c r="A994" s="4">
        <v>56128</v>
      </c>
      <c r="B994" s="10"/>
      <c r="C994" s="9">
        <v>33.936675599924591</v>
      </c>
      <c r="D994" s="5">
        <f t="shared" si="18"/>
        <v>9</v>
      </c>
      <c r="Q994" s="4">
        <v>56128</v>
      </c>
      <c r="R994" s="12">
        <v>13.689773424967122</v>
      </c>
      <c r="S994" s="12">
        <v>9.3871276364049265</v>
      </c>
      <c r="T994" s="16">
        <v>0.63094238976542028</v>
      </c>
      <c r="U994" s="12">
        <v>8.4816927443740155</v>
      </c>
    </row>
    <row r="995" spans="1:21" x14ac:dyDescent="0.25">
      <c r="A995" s="4">
        <v>56158</v>
      </c>
      <c r="B995" s="10"/>
      <c r="C995" s="9">
        <v>8.8394263878517537E-2</v>
      </c>
      <c r="D995" s="5">
        <f t="shared" si="18"/>
        <v>10</v>
      </c>
      <c r="Q995" s="4">
        <v>56158</v>
      </c>
      <c r="R995" s="12">
        <v>0.10975061873845082</v>
      </c>
      <c r="S995" s="12">
        <v>7.9501107277653069E-2</v>
      </c>
      <c r="T995" s="16">
        <v>1.2913255088429232E-3</v>
      </c>
      <c r="U995" s="12">
        <v>6.4074813179584425E-2</v>
      </c>
    </row>
    <row r="996" spans="1:21" x14ac:dyDescent="0.25">
      <c r="A996" s="4">
        <v>56189</v>
      </c>
      <c r="B996" s="10"/>
      <c r="C996" s="9">
        <v>0.44202130372161691</v>
      </c>
      <c r="D996" s="5">
        <f t="shared" si="18"/>
        <v>11</v>
      </c>
      <c r="Q996" s="4">
        <v>56189</v>
      </c>
      <c r="R996" s="12">
        <v>0.45498556869232931</v>
      </c>
      <c r="S996" s="12">
        <v>0.3810258803950729</v>
      </c>
      <c r="T996" s="16">
        <v>3.0741215528188898E-2</v>
      </c>
      <c r="U996" s="12">
        <v>0.34280007187085237</v>
      </c>
    </row>
    <row r="997" spans="1:21" x14ac:dyDescent="0.25">
      <c r="A997" s="4">
        <v>56219</v>
      </c>
      <c r="B997" s="10"/>
      <c r="C997" s="9">
        <v>9.2506536160435289</v>
      </c>
      <c r="D997" s="5">
        <f t="shared" si="18"/>
        <v>12</v>
      </c>
      <c r="Q997" s="4">
        <v>56219</v>
      </c>
      <c r="R997" s="12">
        <v>16.857852528436204</v>
      </c>
      <c r="S997" s="12">
        <v>19.255221059805294</v>
      </c>
      <c r="T997" s="16">
        <v>0.52263991207216653</v>
      </c>
      <c r="U997" s="12">
        <v>20.326395829519992</v>
      </c>
    </row>
    <row r="998" spans="1:21" x14ac:dyDescent="0.25">
      <c r="A998" s="4">
        <v>56250</v>
      </c>
      <c r="B998" s="10"/>
      <c r="C998" s="9">
        <v>15.967509789114885</v>
      </c>
      <c r="D998" s="5">
        <f t="shared" si="18"/>
        <v>1</v>
      </c>
      <c r="Q998" s="4">
        <v>56250</v>
      </c>
      <c r="R998" s="12">
        <v>27.353951446109459</v>
      </c>
      <c r="S998" s="12">
        <v>16.540674427942882</v>
      </c>
      <c r="T998" s="16">
        <v>0.63129832840534972</v>
      </c>
      <c r="U998" s="12">
        <v>19.889374727535323</v>
      </c>
    </row>
    <row r="999" spans="1:21" x14ac:dyDescent="0.25">
      <c r="A999" s="4">
        <v>56281</v>
      </c>
      <c r="B999" s="10"/>
      <c r="C999" s="9">
        <v>28.609672439311407</v>
      </c>
      <c r="D999" s="5">
        <f t="shared" si="18"/>
        <v>2</v>
      </c>
      <c r="Q999" s="4">
        <v>56281</v>
      </c>
      <c r="R999" s="12">
        <v>40.997892309458955</v>
      </c>
      <c r="S999" s="12">
        <v>41.48021475798965</v>
      </c>
      <c r="T999" s="16">
        <v>0.75567830117337231</v>
      </c>
      <c r="U999" s="12">
        <v>40.774426011636649</v>
      </c>
    </row>
    <row r="1000" spans="1:21" x14ac:dyDescent="0.25">
      <c r="A1000" s="4">
        <v>56309</v>
      </c>
      <c r="B1000" s="10"/>
      <c r="C1000" s="9">
        <v>17.24914917111278</v>
      </c>
      <c r="D1000" s="5">
        <f t="shared" si="18"/>
        <v>3</v>
      </c>
      <c r="Q1000" s="4">
        <v>56309</v>
      </c>
      <c r="R1000" s="12">
        <v>19.510569289711274</v>
      </c>
      <c r="S1000" s="12">
        <v>15.152645478779432</v>
      </c>
      <c r="T1000" s="16">
        <v>0.49294307781898777</v>
      </c>
      <c r="U1000" s="12">
        <v>15.162086055386142</v>
      </c>
    </row>
    <row r="1001" spans="1:21" x14ac:dyDescent="0.25">
      <c r="A1001" s="4">
        <v>56340</v>
      </c>
      <c r="B1001" s="10"/>
      <c r="C1001" s="9">
        <v>61.866654093710913</v>
      </c>
      <c r="D1001" s="5">
        <f t="shared" si="18"/>
        <v>4</v>
      </c>
      <c r="Q1001" s="4">
        <v>56340</v>
      </c>
      <c r="R1001" s="12">
        <v>49.72098871126866</v>
      </c>
      <c r="S1001" s="12">
        <v>67.751441310015707</v>
      </c>
      <c r="T1001" s="16">
        <v>0.94775517368064965</v>
      </c>
      <c r="U1001" s="12">
        <v>63.178442334908759</v>
      </c>
    </row>
    <row r="1002" spans="1:21" x14ac:dyDescent="0.25">
      <c r="A1002" s="4">
        <v>56370</v>
      </c>
      <c r="B1002" s="10"/>
      <c r="C1002" s="9">
        <v>95.919235620070367</v>
      </c>
      <c r="D1002" s="5">
        <f t="shared" si="18"/>
        <v>5</v>
      </c>
      <c r="Q1002" s="4">
        <v>56370</v>
      </c>
      <c r="R1002" s="12">
        <v>42.477393361335004</v>
      </c>
      <c r="S1002" s="12">
        <v>65.973976501552201</v>
      </c>
      <c r="T1002" s="16">
        <v>0.97862456605230808</v>
      </c>
      <c r="U1002" s="12">
        <v>61.603545393067201</v>
      </c>
    </row>
    <row r="1003" spans="1:21" x14ac:dyDescent="0.25">
      <c r="A1003" s="4">
        <v>56401</v>
      </c>
      <c r="B1003" s="10"/>
      <c r="C1003" s="9">
        <v>57.776460691016503</v>
      </c>
      <c r="D1003" s="5">
        <f t="shared" si="18"/>
        <v>6</v>
      </c>
      <c r="Q1003" s="4">
        <v>56401</v>
      </c>
      <c r="R1003" s="12">
        <v>20.808933620091647</v>
      </c>
      <c r="S1003" s="12">
        <v>22.682296410332206</v>
      </c>
      <c r="T1003" s="16">
        <v>0.85876413355951742</v>
      </c>
      <c r="U1003" s="12">
        <v>24.353161659961412</v>
      </c>
    </row>
    <row r="1004" spans="1:21" x14ac:dyDescent="0.25">
      <c r="A1004" s="4">
        <v>56431</v>
      </c>
      <c r="B1004" s="10"/>
      <c r="C1004" s="9">
        <v>127.06561553781066</v>
      </c>
      <c r="D1004" s="5">
        <f t="shared" si="18"/>
        <v>7</v>
      </c>
      <c r="Q1004" s="4">
        <v>56431</v>
      </c>
      <c r="R1004" s="12">
        <v>25.82566620524603</v>
      </c>
      <c r="S1004" s="12">
        <v>52.227862326927536</v>
      </c>
      <c r="T1004" s="16">
        <v>0.98195432683782857</v>
      </c>
      <c r="U1004" s="12">
        <v>42.257964892592</v>
      </c>
    </row>
    <row r="1005" spans="1:21" x14ac:dyDescent="0.25">
      <c r="A1005" s="4">
        <v>56462</v>
      </c>
      <c r="B1005" s="10"/>
      <c r="C1005" s="9">
        <v>20.511980358708556</v>
      </c>
      <c r="D1005" s="5">
        <f t="shared" si="18"/>
        <v>8</v>
      </c>
      <c r="Q1005" s="4">
        <v>56462</v>
      </c>
      <c r="R1005" s="12">
        <v>7.0504908148880787</v>
      </c>
      <c r="S1005" s="12">
        <v>4.6342592866324308</v>
      </c>
      <c r="T1005" s="16">
        <v>0.50954503309908394</v>
      </c>
      <c r="U1005" s="12">
        <v>5.4766750034740994</v>
      </c>
    </row>
    <row r="1006" spans="1:21" x14ac:dyDescent="0.25">
      <c r="A1006" s="4">
        <v>56493</v>
      </c>
      <c r="B1006" s="10"/>
      <c r="C1006" s="9">
        <v>56.51674815185747</v>
      </c>
      <c r="D1006" s="5">
        <f t="shared" si="18"/>
        <v>9</v>
      </c>
      <c r="Q1006" s="4">
        <v>56493</v>
      </c>
      <c r="R1006" s="12">
        <v>22.79838738584569</v>
      </c>
      <c r="S1006" s="12">
        <v>21.265975711083755</v>
      </c>
      <c r="T1006" s="16">
        <v>0.80317259919238604</v>
      </c>
      <c r="U1006" s="12">
        <v>22.139352175074784</v>
      </c>
    </row>
    <row r="1007" spans="1:21" x14ac:dyDescent="0.25">
      <c r="A1007" s="4">
        <v>56523</v>
      </c>
      <c r="B1007" s="10"/>
      <c r="C1007" s="9">
        <v>2.9110784647510348</v>
      </c>
      <c r="D1007" s="5">
        <f t="shared" si="18"/>
        <v>10</v>
      </c>
      <c r="Q1007" s="4">
        <v>56523</v>
      </c>
      <c r="R1007" s="12">
        <v>3.6144049249812453</v>
      </c>
      <c r="S1007" s="12">
        <v>3.1681105370912541</v>
      </c>
      <c r="T1007" s="16">
        <v>8.5448204707948824E-2</v>
      </c>
      <c r="U1007" s="12">
        <v>3.0277049390964539</v>
      </c>
    </row>
    <row r="1008" spans="1:21" x14ac:dyDescent="0.25">
      <c r="A1008" s="4">
        <v>56554</v>
      </c>
      <c r="B1008" s="10"/>
      <c r="C1008" s="9">
        <v>40.417935864813707</v>
      </c>
      <c r="D1008" s="5">
        <f t="shared" si="18"/>
        <v>11</v>
      </c>
      <c r="Q1008" s="4">
        <v>56554</v>
      </c>
      <c r="R1008" s="12">
        <v>41.603373819294539</v>
      </c>
      <c r="S1008" s="12">
        <v>41.115613122336072</v>
      </c>
      <c r="T1008" s="16">
        <v>0.70906488985935101</v>
      </c>
      <c r="U1008" s="12">
        <v>41.247745725130656</v>
      </c>
    </row>
    <row r="1009" spans="1:21" x14ac:dyDescent="0.25">
      <c r="A1009" s="4">
        <v>56584</v>
      </c>
      <c r="B1009" s="10"/>
      <c r="C1009" s="9">
        <v>9.1798044585053304</v>
      </c>
      <c r="D1009" s="5">
        <f t="shared" si="18"/>
        <v>12</v>
      </c>
      <c r="Q1009" s="4">
        <v>56584</v>
      </c>
      <c r="R1009" s="12">
        <v>16.72874114894714</v>
      </c>
      <c r="S1009" s="12">
        <v>19.131745935576767</v>
      </c>
      <c r="T1009" s="16">
        <v>0.52044113367636646</v>
      </c>
      <c r="U1009" s="12">
        <v>20.211027302167551</v>
      </c>
    </row>
    <row r="1010" spans="1:21" x14ac:dyDescent="0.25">
      <c r="A1010" s="4">
        <v>56615</v>
      </c>
      <c r="B1010" s="10"/>
      <c r="C1010" s="9">
        <v>13.169532687943764</v>
      </c>
      <c r="D1010" s="5">
        <f t="shared" si="18"/>
        <v>1</v>
      </c>
      <c r="Q1010" s="4">
        <v>56615</v>
      </c>
      <c r="R1010" s="12">
        <v>22.560735047085508</v>
      </c>
      <c r="S1010" s="12">
        <v>11.615845558756771</v>
      </c>
      <c r="T1010" s="16">
        <v>0.55770412383483448</v>
      </c>
      <c r="U1010" s="12">
        <v>13.930173179621244</v>
      </c>
    </row>
    <row r="1011" spans="1:21" x14ac:dyDescent="0.25">
      <c r="A1011" s="4">
        <v>56646</v>
      </c>
      <c r="B1011" s="10"/>
      <c r="C1011" s="9">
        <v>1.8082424846440546</v>
      </c>
      <c r="D1011" s="5">
        <f t="shared" si="18"/>
        <v>2</v>
      </c>
      <c r="Q1011" s="4">
        <v>56646</v>
      </c>
      <c r="R1011" s="12">
        <v>2.5912261250835118</v>
      </c>
      <c r="S1011" s="12">
        <v>3.7523207731604944</v>
      </c>
      <c r="T1011" s="16">
        <v>8.6109783190986972E-2</v>
      </c>
      <c r="U1011" s="12">
        <v>3.7493065892582984</v>
      </c>
    </row>
    <row r="1012" spans="1:21" x14ac:dyDescent="0.25">
      <c r="A1012" s="4">
        <v>56674</v>
      </c>
      <c r="B1012" s="10"/>
      <c r="C1012" s="9">
        <v>40.340780929681358</v>
      </c>
      <c r="D1012" s="5">
        <f t="shared" si="18"/>
        <v>3</v>
      </c>
      <c r="Q1012" s="4">
        <v>56674</v>
      </c>
      <c r="R1012" s="12">
        <v>45.629589826246232</v>
      </c>
      <c r="S1012" s="12">
        <v>51.847124785937247</v>
      </c>
      <c r="T1012" s="16">
        <v>0.88037707322721037</v>
      </c>
      <c r="U1012" s="12">
        <v>53.385221676194234</v>
      </c>
    </row>
    <row r="1013" spans="1:21" x14ac:dyDescent="0.25">
      <c r="A1013" s="4">
        <v>56705</v>
      </c>
      <c r="B1013" s="10"/>
      <c r="C1013" s="9">
        <v>4.9740315497676324</v>
      </c>
      <c r="D1013" s="5">
        <f t="shared" si="18"/>
        <v>4</v>
      </c>
      <c r="Q1013" s="4">
        <v>56705</v>
      </c>
      <c r="R1013" s="12">
        <v>3.997529366318703</v>
      </c>
      <c r="S1013" s="12">
        <v>1.1612546443405447</v>
      </c>
      <c r="T1013" s="16">
        <v>6.6992607774410573E-2</v>
      </c>
      <c r="U1013" s="12">
        <v>1.157135584314728</v>
      </c>
    </row>
    <row r="1014" spans="1:21" x14ac:dyDescent="0.25">
      <c r="A1014" s="4">
        <v>56735</v>
      </c>
      <c r="B1014" s="10"/>
      <c r="C1014" s="9">
        <v>67.820153539277811</v>
      </c>
      <c r="D1014" s="5">
        <f t="shared" si="18"/>
        <v>5</v>
      </c>
      <c r="Q1014" s="4">
        <v>56735</v>
      </c>
      <c r="R1014" s="12">
        <v>30.033843796720685</v>
      </c>
      <c r="S1014" s="12">
        <v>37.585343685764457</v>
      </c>
      <c r="T1014" s="16">
        <v>0.91051377569731451</v>
      </c>
      <c r="U1014" s="12">
        <v>37.834472667054456</v>
      </c>
    </row>
    <row r="1015" spans="1:21" x14ac:dyDescent="0.25">
      <c r="A1015" s="4">
        <v>56766</v>
      </c>
      <c r="B1015" s="10"/>
      <c r="C1015" s="9">
        <v>75.200517411602434</v>
      </c>
      <c r="D1015" s="5">
        <f t="shared" si="18"/>
        <v>6</v>
      </c>
      <c r="Q1015" s="4">
        <v>56766</v>
      </c>
      <c r="R1015" s="12">
        <v>27.084431207775488</v>
      </c>
      <c r="S1015" s="12">
        <v>36.225543678363714</v>
      </c>
      <c r="T1015" s="16">
        <v>0.92829141809736981</v>
      </c>
      <c r="U1015" s="12">
        <v>36.963437399782507</v>
      </c>
    </row>
    <row r="1016" spans="1:21" x14ac:dyDescent="0.25">
      <c r="A1016" s="4">
        <v>56796</v>
      </c>
      <c r="B1016" s="10"/>
      <c r="C1016" s="9">
        <v>46.806668729676993</v>
      </c>
      <c r="D1016" s="5">
        <f t="shared" si="18"/>
        <v>7</v>
      </c>
      <c r="Q1016" s="4">
        <v>56796</v>
      </c>
      <c r="R1016" s="12">
        <v>9.5133006492418168</v>
      </c>
      <c r="S1016" s="12">
        <v>6.8109462827800238</v>
      </c>
      <c r="T1016" s="16">
        <v>0.59981863758672649</v>
      </c>
      <c r="U1016" s="12">
        <v>7.9221051441894978</v>
      </c>
    </row>
    <row r="1017" spans="1:21" x14ac:dyDescent="0.25">
      <c r="A1017" s="4">
        <v>56827</v>
      </c>
      <c r="B1017" s="10"/>
      <c r="C1017" s="9">
        <v>18.16258076152949</v>
      </c>
      <c r="D1017" s="5">
        <f t="shared" si="18"/>
        <v>8</v>
      </c>
      <c r="Q1017" s="4">
        <v>56827</v>
      </c>
      <c r="R1017" s="12">
        <v>6.2429422510371895</v>
      </c>
      <c r="S1017" s="12">
        <v>3.8299998449181838</v>
      </c>
      <c r="T1017" s="16">
        <v>0.46039666340406293</v>
      </c>
      <c r="U1017" s="12">
        <v>4.5630547468165679</v>
      </c>
    </row>
    <row r="1018" spans="1:21" x14ac:dyDescent="0.25">
      <c r="A1018" s="4">
        <v>56858</v>
      </c>
      <c r="B1018" s="10"/>
      <c r="C1018" s="9">
        <v>23.533059748940072</v>
      </c>
      <c r="D1018" s="5">
        <f t="shared" si="18"/>
        <v>9</v>
      </c>
      <c r="Q1018" s="4">
        <v>56858</v>
      </c>
      <c r="R1018" s="12">
        <v>9.4930410909169627</v>
      </c>
      <c r="S1018" s="12">
        <v>5.2193465755584274</v>
      </c>
      <c r="T1018" s="16">
        <v>0.5049956681940726</v>
      </c>
      <c r="U1018" s="12">
        <v>3.9506590525353693</v>
      </c>
    </row>
    <row r="1019" spans="1:21" x14ac:dyDescent="0.25">
      <c r="A1019" s="4">
        <v>56888</v>
      </c>
      <c r="B1019" s="10"/>
      <c r="C1019" s="9">
        <v>7.5959157036792888</v>
      </c>
      <c r="D1019" s="5">
        <f t="shared" si="18"/>
        <v>10</v>
      </c>
      <c r="Q1019" s="4">
        <v>56888</v>
      </c>
      <c r="R1019" s="12">
        <v>9.4311147780995395</v>
      </c>
      <c r="S1019" s="12">
        <v>8.7106581347309699</v>
      </c>
      <c r="T1019" s="16">
        <v>0.24169814351616098</v>
      </c>
      <c r="U1019" s="12">
        <v>8.5890910503595954</v>
      </c>
    </row>
    <row r="1020" spans="1:21" x14ac:dyDescent="0.25">
      <c r="A1020" s="4">
        <v>56919</v>
      </c>
      <c r="B1020" s="10"/>
      <c r="C1020" s="9">
        <v>20.485761726302734</v>
      </c>
      <c r="D1020" s="5">
        <f t="shared" si="18"/>
        <v>11</v>
      </c>
      <c r="Q1020" s="4">
        <v>56919</v>
      </c>
      <c r="R1020" s="12">
        <v>21.086598927837098</v>
      </c>
      <c r="S1020" s="12">
        <v>20.326454199687277</v>
      </c>
      <c r="T1020" s="16">
        <v>0.49801110054343767</v>
      </c>
      <c r="U1020" s="12">
        <v>20.277428450807225</v>
      </c>
    </row>
    <row r="1021" spans="1:21" x14ac:dyDescent="0.25">
      <c r="A1021" s="4">
        <v>56949</v>
      </c>
      <c r="B1021" s="10"/>
      <c r="C1021" s="9">
        <v>44.905272990063573</v>
      </c>
      <c r="D1021" s="5">
        <f t="shared" si="18"/>
        <v>12</v>
      </c>
      <c r="Q1021" s="4">
        <v>56949</v>
      </c>
      <c r="R1021" s="12">
        <v>81.832754877209439</v>
      </c>
      <c r="S1021" s="12">
        <v>72.221171201843575</v>
      </c>
      <c r="T1021" s="16">
        <v>0.93965714070625739</v>
      </c>
      <c r="U1021" s="12">
        <v>70.129564252185958</v>
      </c>
    </row>
    <row r="1022" spans="1:21" x14ac:dyDescent="0.25">
      <c r="A1022" s="4">
        <v>56980</v>
      </c>
      <c r="B1022" s="10"/>
      <c r="C1022" s="9">
        <v>17.61568792685032</v>
      </c>
      <c r="D1022" s="5">
        <f t="shared" si="18"/>
        <v>1</v>
      </c>
      <c r="Q1022" s="4">
        <v>56980</v>
      </c>
      <c r="R1022" s="12">
        <v>30.177446490082332</v>
      </c>
      <c r="S1022" s="12">
        <v>19.80730400090458</v>
      </c>
      <c r="T1022" s="16">
        <v>0.66893814531142937</v>
      </c>
      <c r="U1022" s="12">
        <v>23.719115571395101</v>
      </c>
    </row>
    <row r="1023" spans="1:21" x14ac:dyDescent="0.25">
      <c r="A1023" s="4">
        <v>57011</v>
      </c>
      <c r="B1023" s="10"/>
      <c r="C1023" s="9">
        <v>12.76274392836501</v>
      </c>
      <c r="D1023" s="5">
        <f t="shared" si="18"/>
        <v>2</v>
      </c>
      <c r="Q1023" s="4">
        <v>57011</v>
      </c>
      <c r="R1023" s="12">
        <v>18.289115412217686</v>
      </c>
      <c r="S1023" s="12">
        <v>20.549020232256474</v>
      </c>
      <c r="T1023" s="16">
        <v>0.46756206560135366</v>
      </c>
      <c r="U1023" s="12">
        <v>19.90640208747017</v>
      </c>
    </row>
    <row r="1024" spans="1:21" x14ac:dyDescent="0.25">
      <c r="A1024" s="4">
        <v>57040</v>
      </c>
      <c r="B1024" s="10"/>
      <c r="C1024" s="9">
        <v>58.826579378907972</v>
      </c>
      <c r="D1024" s="5">
        <f t="shared" si="18"/>
        <v>3</v>
      </c>
      <c r="Q1024" s="4">
        <v>57040</v>
      </c>
      <c r="R1024" s="12">
        <v>66.538937176739665</v>
      </c>
      <c r="S1024" s="12">
        <v>89.522226813904865</v>
      </c>
      <c r="T1024" s="16">
        <v>0.9668321026492821</v>
      </c>
      <c r="U1024" s="12">
        <v>88.729851558392511</v>
      </c>
    </row>
    <row r="1025" spans="1:21" x14ac:dyDescent="0.25">
      <c r="A1025" s="4">
        <v>57071</v>
      </c>
      <c r="B1025" s="10"/>
      <c r="C1025" s="9">
        <v>0.52773265594080854</v>
      </c>
      <c r="D1025" s="5">
        <f t="shared" si="18"/>
        <v>4</v>
      </c>
      <c r="Q1025" s="4">
        <v>57071</v>
      </c>
      <c r="R1025" s="12">
        <v>0.42412814807885574</v>
      </c>
      <c r="S1025" s="12">
        <v>3.1134779649424727E-2</v>
      </c>
      <c r="T1025" s="16">
        <v>1.2682846156202017E-3</v>
      </c>
      <c r="U1025" s="12">
        <v>1.4506159443757995E-2</v>
      </c>
    </row>
    <row r="1026" spans="1:21" x14ac:dyDescent="0.25">
      <c r="A1026" s="4">
        <v>57101</v>
      </c>
      <c r="B1026" s="10"/>
      <c r="C1026" s="9">
        <v>32.538066448489168</v>
      </c>
      <c r="D1026" s="5">
        <f t="shared" si="18"/>
        <v>5</v>
      </c>
      <c r="Q1026" s="4">
        <v>57101</v>
      </c>
      <c r="R1026" s="12">
        <v>14.409333423217257</v>
      </c>
      <c r="S1026" s="12">
        <v>11.410382048609975</v>
      </c>
      <c r="T1026" s="16">
        <v>0.56115616354021891</v>
      </c>
      <c r="U1026" s="12">
        <v>12.048396462087013</v>
      </c>
    </row>
    <row r="1027" spans="1:21" x14ac:dyDescent="0.25">
      <c r="A1027" s="4">
        <v>57132</v>
      </c>
      <c r="B1027" s="10"/>
      <c r="C1027" s="9">
        <v>39.555455818546214</v>
      </c>
      <c r="D1027" s="5">
        <f t="shared" ref="D1027:D1090" si="19">MONTH(A1027)</f>
        <v>6</v>
      </c>
      <c r="Q1027" s="4">
        <v>57132</v>
      </c>
      <c r="R1027" s="12">
        <v>14.246404930244864</v>
      </c>
      <c r="S1027" s="12">
        <v>11.572141018494902</v>
      </c>
      <c r="T1027" s="16">
        <v>0.71838907102993788</v>
      </c>
      <c r="U1027" s="12">
        <v>12.736041402499549</v>
      </c>
    </row>
    <row r="1028" spans="1:21" x14ac:dyDescent="0.25">
      <c r="A1028" s="4">
        <v>57162</v>
      </c>
      <c r="B1028" s="10"/>
      <c r="C1028" s="9">
        <v>29.982236833613022</v>
      </c>
      <c r="D1028" s="5">
        <f t="shared" si="19"/>
        <v>7</v>
      </c>
      <c r="Q1028" s="4">
        <v>57162</v>
      </c>
      <c r="R1028" s="12">
        <v>6.093790497722118</v>
      </c>
      <c r="S1028" s="12">
        <v>2.745519368712904</v>
      </c>
      <c r="T1028" s="16">
        <v>0.3499745587066147</v>
      </c>
      <c r="U1028" s="12">
        <v>3.2134934483864126</v>
      </c>
    </row>
    <row r="1029" spans="1:21" x14ac:dyDescent="0.25">
      <c r="A1029" s="4">
        <v>57193</v>
      </c>
      <c r="B1029" s="10"/>
      <c r="C1029" s="9">
        <v>53.491770592133996</v>
      </c>
      <c r="D1029" s="5">
        <f t="shared" si="19"/>
        <v>8</v>
      </c>
      <c r="Q1029" s="4">
        <v>57193</v>
      </c>
      <c r="R1029" s="12">
        <v>18.386485879790797</v>
      </c>
      <c r="S1029" s="12">
        <v>20.8096976970951</v>
      </c>
      <c r="T1029" s="16">
        <v>0.88342207116755556</v>
      </c>
      <c r="U1029" s="12">
        <v>20.986589278053035</v>
      </c>
    </row>
    <row r="1030" spans="1:21" x14ac:dyDescent="0.25">
      <c r="A1030" s="4">
        <v>57224</v>
      </c>
      <c r="B1030" s="10"/>
      <c r="C1030" s="9">
        <v>2.2320347496630197</v>
      </c>
      <c r="D1030" s="5">
        <f t="shared" si="19"/>
        <v>9</v>
      </c>
      <c r="Q1030" s="4">
        <v>57224</v>
      </c>
      <c r="R1030" s="12">
        <v>0.90038430280448112</v>
      </c>
      <c r="S1030" s="12">
        <v>0.11951838543938954</v>
      </c>
      <c r="T1030" s="16">
        <v>7.3992169728027551E-2</v>
      </c>
      <c r="U1030" s="12">
        <v>9.752791656354641E-3</v>
      </c>
    </row>
    <row r="1031" spans="1:21" x14ac:dyDescent="0.25">
      <c r="A1031" s="4">
        <v>57254</v>
      </c>
      <c r="B1031" s="10"/>
      <c r="C1031" s="9">
        <v>0.16251679233861593</v>
      </c>
      <c r="D1031" s="5">
        <f t="shared" si="19"/>
        <v>10</v>
      </c>
      <c r="Q1031" s="4">
        <v>57254</v>
      </c>
      <c r="R1031" s="12">
        <v>0.20178140223062804</v>
      </c>
      <c r="S1031" s="12">
        <v>0.15110410080213865</v>
      </c>
      <c r="T1031" s="16">
        <v>2.7141606076638391E-3</v>
      </c>
      <c r="U1031" s="12">
        <v>0.12579538287138842</v>
      </c>
    </row>
    <row r="1032" spans="1:21" x14ac:dyDescent="0.25">
      <c r="A1032" s="4">
        <v>57285</v>
      </c>
      <c r="B1032" s="10"/>
      <c r="C1032" s="9">
        <v>16.693275434555044</v>
      </c>
      <c r="D1032" s="5">
        <f t="shared" si="19"/>
        <v>11</v>
      </c>
      <c r="Q1032" s="4">
        <v>57285</v>
      </c>
      <c r="R1032" s="12">
        <v>17.182880899587005</v>
      </c>
      <c r="S1032" s="12">
        <v>16.439568502319378</v>
      </c>
      <c r="T1032" s="16">
        <v>0.44003499722328376</v>
      </c>
      <c r="U1032" s="12">
        <v>16.354139346713993</v>
      </c>
    </row>
    <row r="1033" spans="1:21" x14ac:dyDescent="0.25">
      <c r="A1033" s="4">
        <v>57315</v>
      </c>
      <c r="B1033" s="10"/>
      <c r="C1033" s="9">
        <v>19.921450680175205</v>
      </c>
      <c r="D1033" s="5">
        <f t="shared" si="19"/>
        <v>12</v>
      </c>
      <c r="Q1033" s="4">
        <v>57315</v>
      </c>
      <c r="R1033" s="12">
        <v>36.303691788488266</v>
      </c>
      <c r="S1033" s="12">
        <v>36.585671574560173</v>
      </c>
      <c r="T1033" s="16">
        <v>0.75194174192181018</v>
      </c>
      <c r="U1033" s="12">
        <v>36.428063813107158</v>
      </c>
    </row>
    <row r="1034" spans="1:21" x14ac:dyDescent="0.25">
      <c r="A1034" s="4">
        <v>57346</v>
      </c>
      <c r="B1034" s="10"/>
      <c r="C1034" s="9">
        <v>40.426626506105094</v>
      </c>
      <c r="D1034" s="5">
        <f t="shared" si="19"/>
        <v>1</v>
      </c>
      <c r="Q1034" s="4">
        <v>57346</v>
      </c>
      <c r="R1034" s="12">
        <v>69.254880265164942</v>
      </c>
      <c r="S1034" s="12">
        <v>90.93295355045899</v>
      </c>
      <c r="T1034" s="16">
        <v>0.92687826327522727</v>
      </c>
      <c r="U1034" s="12">
        <v>91.318482627145755</v>
      </c>
    </row>
    <row r="1035" spans="1:21" x14ac:dyDescent="0.25">
      <c r="A1035" s="4">
        <v>57377</v>
      </c>
      <c r="B1035" s="10"/>
      <c r="C1035" s="9">
        <v>16.995547832110102</v>
      </c>
      <c r="D1035" s="5">
        <f t="shared" si="19"/>
        <v>2</v>
      </c>
      <c r="Q1035" s="4">
        <v>57377</v>
      </c>
      <c r="R1035" s="12">
        <v>24.354757686903426</v>
      </c>
      <c r="S1035" s="12">
        <v>26.365189740131758</v>
      </c>
      <c r="T1035" s="16">
        <v>0.56764342982024962</v>
      </c>
      <c r="U1035" s="12">
        <v>25.617115758007657</v>
      </c>
    </row>
    <row r="1036" spans="1:21" x14ac:dyDescent="0.25">
      <c r="A1036" s="4">
        <v>57405</v>
      </c>
      <c r="B1036" s="10"/>
      <c r="C1036" s="9">
        <v>2.3250806880371009</v>
      </c>
      <c r="D1036" s="5">
        <f t="shared" si="19"/>
        <v>3</v>
      </c>
      <c r="Q1036" s="4">
        <v>57405</v>
      </c>
      <c r="R1036" s="12">
        <v>2.6299064039684983</v>
      </c>
      <c r="S1036" s="12">
        <v>0.83243445218886802</v>
      </c>
      <c r="T1036" s="16">
        <v>3.0165332702911891E-2</v>
      </c>
      <c r="U1036" s="12">
        <v>0.41191513880397468</v>
      </c>
    </row>
    <row r="1037" spans="1:21" x14ac:dyDescent="0.25">
      <c r="A1037" s="4">
        <v>57436</v>
      </c>
      <c r="B1037" s="10"/>
      <c r="C1037" s="9">
        <v>16.896460303850702</v>
      </c>
      <c r="D1037" s="5">
        <f t="shared" si="19"/>
        <v>4</v>
      </c>
      <c r="Q1037" s="4">
        <v>57436</v>
      </c>
      <c r="R1037" s="12">
        <v>13.579346165312687</v>
      </c>
      <c r="S1037" s="12">
        <v>8.3492967360397952</v>
      </c>
      <c r="T1037" s="16">
        <v>0.38807450322621723</v>
      </c>
      <c r="U1037" s="12">
        <v>9.573583640246385</v>
      </c>
    </row>
    <row r="1038" spans="1:21" x14ac:dyDescent="0.25">
      <c r="A1038" s="4">
        <v>57466</v>
      </c>
      <c r="B1038" s="10"/>
      <c r="C1038" s="9">
        <v>87.842349959976701</v>
      </c>
      <c r="D1038" s="5">
        <f t="shared" si="19"/>
        <v>5</v>
      </c>
      <c r="Q1038" s="4">
        <v>57466</v>
      </c>
      <c r="R1038" s="12">
        <v>38.900581608192383</v>
      </c>
      <c r="S1038" s="12">
        <v>57.196180027551435</v>
      </c>
      <c r="T1038" s="16">
        <v>0.96743697691320918</v>
      </c>
      <c r="U1038" s="12">
        <v>54.588198788470095</v>
      </c>
    </row>
    <row r="1039" spans="1:21" x14ac:dyDescent="0.25">
      <c r="A1039" s="4">
        <v>57497</v>
      </c>
      <c r="B1039" s="10"/>
      <c r="C1039" s="9">
        <v>42.493737833555926</v>
      </c>
      <c r="D1039" s="5">
        <f t="shared" si="19"/>
        <v>6</v>
      </c>
      <c r="Q1039" s="4">
        <v>57497</v>
      </c>
      <c r="R1039" s="12">
        <v>15.304664897646314</v>
      </c>
      <c r="S1039" s="12">
        <v>13.142809906998027</v>
      </c>
      <c r="T1039" s="16">
        <v>0.74760248233421289</v>
      </c>
      <c r="U1039" s="12">
        <v>14.464524882696368</v>
      </c>
    </row>
    <row r="1040" spans="1:21" x14ac:dyDescent="0.25">
      <c r="A1040" s="4">
        <v>57527</v>
      </c>
      <c r="B1040" s="10"/>
      <c r="C1040" s="9">
        <v>21.449054343031701</v>
      </c>
      <c r="D1040" s="5">
        <f t="shared" si="19"/>
        <v>7</v>
      </c>
      <c r="Q1040" s="4">
        <v>57527</v>
      </c>
      <c r="R1040" s="12">
        <v>4.3594493721748488</v>
      </c>
      <c r="S1040" s="12">
        <v>1.3865203691871804</v>
      </c>
      <c r="T1040" s="16">
        <v>0.20882360074410505</v>
      </c>
      <c r="U1040" s="12">
        <v>1.5187445986922192</v>
      </c>
    </row>
    <row r="1041" spans="1:21" x14ac:dyDescent="0.25">
      <c r="A1041" s="4">
        <v>57558</v>
      </c>
      <c r="B1041" s="10"/>
      <c r="C1041" s="9">
        <v>23.755897711663629</v>
      </c>
      <c r="D1041" s="5">
        <f t="shared" si="19"/>
        <v>8</v>
      </c>
      <c r="Q1041" s="4">
        <v>57558</v>
      </c>
      <c r="R1041" s="12">
        <v>8.1655079464033982</v>
      </c>
      <c r="S1041" s="12">
        <v>5.8330346938831346</v>
      </c>
      <c r="T1041" s="16">
        <v>0.57114078598593943</v>
      </c>
      <c r="U1041" s="12">
        <v>6.8015263823457905</v>
      </c>
    </row>
    <row r="1042" spans="1:21" x14ac:dyDescent="0.25">
      <c r="A1042" s="4">
        <v>57589</v>
      </c>
      <c r="B1042" s="10"/>
      <c r="C1042" s="9">
        <v>2.6353600881711214</v>
      </c>
      <c r="D1042" s="5">
        <f t="shared" si="19"/>
        <v>9</v>
      </c>
      <c r="Q1042" s="4">
        <v>57589</v>
      </c>
      <c r="R1042" s="12">
        <v>1.0630823986879903</v>
      </c>
      <c r="S1042" s="12">
        <v>0.15599049489340414</v>
      </c>
      <c r="T1042" s="16">
        <v>8.5833521195040396E-2</v>
      </c>
      <c r="U1042" s="12">
        <v>1.5432403876597231E-2</v>
      </c>
    </row>
    <row r="1043" spans="1:21" x14ac:dyDescent="0.25">
      <c r="A1043" s="4">
        <v>57619</v>
      </c>
      <c r="B1043" s="10"/>
      <c r="C1043" s="9">
        <v>11.338927455013266</v>
      </c>
      <c r="D1043" s="5">
        <f t="shared" si="19"/>
        <v>10</v>
      </c>
      <c r="Q1043" s="4">
        <v>57619</v>
      </c>
      <c r="R1043" s="12">
        <v>14.078450901841304</v>
      </c>
      <c r="S1043" s="12">
        <v>13.290315210549801</v>
      </c>
      <c r="T1043" s="16">
        <v>0.35590942905369083</v>
      </c>
      <c r="U1043" s="12">
        <v>13.223986160226842</v>
      </c>
    </row>
    <row r="1044" spans="1:21" x14ac:dyDescent="0.25">
      <c r="A1044" s="4">
        <v>57650</v>
      </c>
      <c r="B1044" s="10"/>
      <c r="C1044" s="9">
        <v>61.570355781927574</v>
      </c>
      <c r="D1044" s="5">
        <f t="shared" si="19"/>
        <v>11</v>
      </c>
      <c r="Q1044" s="4">
        <v>57650</v>
      </c>
      <c r="R1044" s="12">
        <v>63.37618369107436</v>
      </c>
      <c r="S1044" s="12">
        <v>63.607468749749117</v>
      </c>
      <c r="T1044" s="16">
        <v>0.83243668014582539</v>
      </c>
      <c r="U1044" s="12">
        <v>63.842174508175184</v>
      </c>
    </row>
    <row r="1045" spans="1:21" x14ac:dyDescent="0.25">
      <c r="A1045" s="4">
        <v>57680</v>
      </c>
      <c r="B1045" s="10"/>
      <c r="C1045" s="9">
        <v>2.4818138306229329</v>
      </c>
      <c r="D1045" s="5">
        <f t="shared" si="19"/>
        <v>12</v>
      </c>
      <c r="Q1045" s="4">
        <v>57680</v>
      </c>
      <c r="R1045" s="12">
        <v>4.522713020744229</v>
      </c>
      <c r="S1045" s="12">
        <v>6.4036272037551569</v>
      </c>
      <c r="T1045" s="16">
        <v>0.23041951372749936</v>
      </c>
      <c r="U1045" s="12">
        <v>7.9626655316863832</v>
      </c>
    </row>
    <row r="1046" spans="1:21" x14ac:dyDescent="0.25">
      <c r="A1046" s="4">
        <v>57711</v>
      </c>
      <c r="B1046" s="10"/>
      <c r="C1046" s="9">
        <v>6.5822911916551865</v>
      </c>
      <c r="D1046" s="5">
        <f t="shared" si="19"/>
        <v>1</v>
      </c>
      <c r="Q1046" s="4">
        <v>57711</v>
      </c>
      <c r="R1046" s="12">
        <v>11.276127338492811</v>
      </c>
      <c r="S1046" s="12">
        <v>3.2542854316082819</v>
      </c>
      <c r="T1046" s="16">
        <v>0.32532180079474987</v>
      </c>
      <c r="U1046" s="12">
        <v>3.4457619421255994</v>
      </c>
    </row>
    <row r="1047" spans="1:21" x14ac:dyDescent="0.25">
      <c r="A1047" s="4">
        <v>57742</v>
      </c>
      <c r="B1047" s="10"/>
      <c r="C1047" s="9">
        <v>0.74982989061862393</v>
      </c>
      <c r="D1047" s="5">
        <f t="shared" si="19"/>
        <v>2</v>
      </c>
      <c r="Q1047" s="4">
        <v>57742</v>
      </c>
      <c r="R1047" s="12">
        <v>1.0745123059764621</v>
      </c>
      <c r="S1047" s="12">
        <v>1.7443927618899717</v>
      </c>
      <c r="T1047" s="16">
        <v>3.6807681033770176E-2</v>
      </c>
      <c r="U1047" s="12">
        <v>1.8029179150580297</v>
      </c>
    </row>
    <row r="1048" spans="1:21" x14ac:dyDescent="0.25">
      <c r="A1048" s="4">
        <v>57770</v>
      </c>
      <c r="B1048" s="10"/>
      <c r="C1048" s="9">
        <v>76.836444252366732</v>
      </c>
      <c r="D1048" s="5">
        <f t="shared" si="19"/>
        <v>3</v>
      </c>
      <c r="Q1048" s="4">
        <v>57770</v>
      </c>
      <c r="R1048" s="12">
        <v>86.909954496273102</v>
      </c>
      <c r="S1048" s="12">
        <v>131.78819727800706</v>
      </c>
      <c r="T1048" s="16">
        <v>0.99097409437474804</v>
      </c>
      <c r="U1048" s="12">
        <v>125.11161661006047</v>
      </c>
    </row>
    <row r="1049" spans="1:21" x14ac:dyDescent="0.25">
      <c r="A1049" s="4">
        <v>57801</v>
      </c>
      <c r="B1049" s="10"/>
      <c r="C1049" s="9">
        <v>68.19303600161409</v>
      </c>
      <c r="D1049" s="5">
        <f t="shared" si="19"/>
        <v>4</v>
      </c>
      <c r="Q1049" s="4">
        <v>57801</v>
      </c>
      <c r="R1049" s="12">
        <v>54.80537492923942</v>
      </c>
      <c r="S1049" s="12">
        <v>79.273481284543834</v>
      </c>
      <c r="T1049" s="16">
        <v>0.96452353812600033</v>
      </c>
      <c r="U1049" s="12">
        <v>71.776637440351351</v>
      </c>
    </row>
    <row r="1050" spans="1:21" x14ac:dyDescent="0.25">
      <c r="A1050" s="4">
        <v>57831</v>
      </c>
      <c r="B1050" s="10"/>
      <c r="C1050" s="9">
        <v>23.185433850144275</v>
      </c>
      <c r="D1050" s="5">
        <f t="shared" si="19"/>
        <v>5</v>
      </c>
      <c r="Q1050" s="4">
        <v>57831</v>
      </c>
      <c r="R1050" s="12">
        <v>10.267562992335987</v>
      </c>
      <c r="S1050" s="12">
        <v>6.582890326531551</v>
      </c>
      <c r="T1050" s="16">
        <v>0.38079356638194545</v>
      </c>
      <c r="U1050" s="12">
        <v>6.7052887794155476</v>
      </c>
    </row>
    <row r="1051" spans="1:21" x14ac:dyDescent="0.25">
      <c r="A1051" s="4">
        <v>57862</v>
      </c>
      <c r="B1051" s="10"/>
      <c r="C1051" s="9">
        <v>17.201173281902477</v>
      </c>
      <c r="D1051" s="5">
        <f t="shared" si="19"/>
        <v>6</v>
      </c>
      <c r="Q1051" s="4">
        <v>57862</v>
      </c>
      <c r="R1051" s="12">
        <v>6.1952232575308548</v>
      </c>
      <c r="S1051" s="12">
        <v>2.6365350292559877</v>
      </c>
      <c r="T1051" s="16">
        <v>0.3765734298648884</v>
      </c>
      <c r="U1051" s="12">
        <v>2.4455611342595902</v>
      </c>
    </row>
    <row r="1052" spans="1:21" x14ac:dyDescent="0.25">
      <c r="A1052" s="4">
        <v>57892</v>
      </c>
      <c r="B1052" s="10"/>
      <c r="C1052" s="9">
        <v>84.633165770061098</v>
      </c>
      <c r="D1052" s="5">
        <f t="shared" si="19"/>
        <v>7</v>
      </c>
      <c r="Q1052" s="4">
        <v>57892</v>
      </c>
      <c r="R1052" s="12">
        <v>17.201411096304454</v>
      </c>
      <c r="S1052" s="12">
        <v>22.798503781054897</v>
      </c>
      <c r="T1052" s="16">
        <v>0.89696027311105453</v>
      </c>
      <c r="U1052" s="12">
        <v>22.504520194493146</v>
      </c>
    </row>
    <row r="1053" spans="1:21" x14ac:dyDescent="0.25">
      <c r="A1053" s="4">
        <v>57923</v>
      </c>
      <c r="B1053" s="10"/>
      <c r="C1053" s="9">
        <v>24.490840286116111</v>
      </c>
      <c r="D1053" s="5">
        <f t="shared" si="19"/>
        <v>8</v>
      </c>
      <c r="Q1053" s="4">
        <v>57923</v>
      </c>
      <c r="R1053" s="12">
        <v>8.4181264542232679</v>
      </c>
      <c r="S1053" s="12">
        <v>6.1182709346346575</v>
      </c>
      <c r="T1053" s="16">
        <v>0.58412137310276868</v>
      </c>
      <c r="U1053" s="12">
        <v>7.1107398715058361</v>
      </c>
    </row>
    <row r="1054" spans="1:21" x14ac:dyDescent="0.25">
      <c r="A1054" s="4">
        <v>57954</v>
      </c>
      <c r="B1054" s="10"/>
      <c r="C1054" s="9">
        <v>62.456947896619234</v>
      </c>
      <c r="D1054" s="5">
        <f t="shared" si="19"/>
        <v>9</v>
      </c>
      <c r="Q1054" s="4">
        <v>57954</v>
      </c>
      <c r="R1054" s="12">
        <v>25.194614687644716</v>
      </c>
      <c r="S1054" s="12">
        <v>24.961809302913622</v>
      </c>
      <c r="T1054" s="16">
        <v>0.83297046545079845</v>
      </c>
      <c r="U1054" s="12">
        <v>26.349295378888829</v>
      </c>
    </row>
    <row r="1055" spans="1:21" x14ac:dyDescent="0.25">
      <c r="A1055" s="4">
        <v>57984</v>
      </c>
      <c r="B1055" s="10"/>
      <c r="C1055" s="9">
        <v>34.209807317733535</v>
      </c>
      <c r="D1055" s="5">
        <f t="shared" si="19"/>
        <v>10</v>
      </c>
      <c r="Q1055" s="4">
        <v>57984</v>
      </c>
      <c r="R1055" s="12">
        <v>42.475013143436634</v>
      </c>
      <c r="S1055" s="12">
        <v>42.587122997799234</v>
      </c>
      <c r="T1055" s="16">
        <v>0.78326826758786383</v>
      </c>
      <c r="U1055" s="12">
        <v>42.788565328024532</v>
      </c>
    </row>
    <row r="1056" spans="1:21" x14ac:dyDescent="0.25">
      <c r="A1056" s="4">
        <v>58015</v>
      </c>
      <c r="B1056" s="10"/>
      <c r="C1056" s="9">
        <v>42.159838106260011</v>
      </c>
      <c r="D1056" s="5">
        <f t="shared" si="19"/>
        <v>11</v>
      </c>
      <c r="Q1056" s="4">
        <v>58015</v>
      </c>
      <c r="R1056" s="12">
        <v>43.396365187036466</v>
      </c>
      <c r="S1056" s="12">
        <v>42.953999538206375</v>
      </c>
      <c r="T1056" s="16">
        <v>0.72220041663025358</v>
      </c>
      <c r="U1056" s="12">
        <v>43.098666575335841</v>
      </c>
    </row>
    <row r="1057" spans="1:21" x14ac:dyDescent="0.25">
      <c r="A1057" s="4">
        <v>58045</v>
      </c>
      <c r="B1057" s="10"/>
      <c r="C1057" s="9">
        <v>0.94801635257280814</v>
      </c>
      <c r="D1057" s="5">
        <f t="shared" si="19"/>
        <v>12</v>
      </c>
      <c r="Q1057" s="4">
        <v>58045</v>
      </c>
      <c r="R1057" s="12">
        <v>1.7276098024577879</v>
      </c>
      <c r="S1057" s="12">
        <v>2.8622196169911538</v>
      </c>
      <c r="T1057" s="16">
        <v>0.11843609955502112</v>
      </c>
      <c r="U1057" s="12">
        <v>4.1586019709662931</v>
      </c>
    </row>
    <row r="1058" spans="1:21" x14ac:dyDescent="0.25">
      <c r="A1058" s="4">
        <v>58076</v>
      </c>
      <c r="B1058" s="10"/>
      <c r="C1058" s="9">
        <v>56.995978019855734</v>
      </c>
      <c r="D1058" s="5">
        <f t="shared" si="19"/>
        <v>1</v>
      </c>
      <c r="Q1058" s="4">
        <v>58076</v>
      </c>
      <c r="R1058" s="12">
        <v>97.639847162735208</v>
      </c>
      <c r="S1058" s="12">
        <v>170.77086071264753</v>
      </c>
      <c r="T1058" s="16">
        <v>0.97586830276232395</v>
      </c>
      <c r="U1058" s="12">
        <v>149.39645933426968</v>
      </c>
    </row>
    <row r="1059" spans="1:21" x14ac:dyDescent="0.25">
      <c r="A1059" s="4">
        <v>58107</v>
      </c>
      <c r="B1059" s="10"/>
      <c r="C1059" s="9">
        <v>15.461022872065447</v>
      </c>
      <c r="D1059" s="5">
        <f t="shared" si="19"/>
        <v>2</v>
      </c>
      <c r="Q1059" s="4">
        <v>58107</v>
      </c>
      <c r="R1059" s="12">
        <v>22.155770991353485</v>
      </c>
      <c r="S1059" s="12">
        <v>24.2811980652871</v>
      </c>
      <c r="T1059" s="16">
        <v>0.53375165468574703</v>
      </c>
      <c r="U1059" s="12">
        <v>23.56289600518215</v>
      </c>
    </row>
    <row r="1060" spans="1:21" x14ac:dyDescent="0.25">
      <c r="A1060" s="4">
        <v>58135</v>
      </c>
      <c r="B1060" s="10"/>
      <c r="C1060" s="9">
        <v>2.5870223965987189</v>
      </c>
      <c r="D1060" s="5">
        <f t="shared" si="19"/>
        <v>3</v>
      </c>
      <c r="Q1060" s="4">
        <v>58135</v>
      </c>
      <c r="R1060" s="12">
        <v>2.9261895309829948</v>
      </c>
      <c r="S1060" s="12">
        <v>0.97157690782433281</v>
      </c>
      <c r="T1060" s="16">
        <v>3.5878915238774671E-2</v>
      </c>
      <c r="U1060" s="12">
        <v>0.50783388815928232</v>
      </c>
    </row>
    <row r="1061" spans="1:21" x14ac:dyDescent="0.25">
      <c r="A1061" s="4">
        <v>58166</v>
      </c>
      <c r="B1061" s="10"/>
      <c r="C1061" s="9">
        <v>164.98546140905569</v>
      </c>
      <c r="D1061" s="5">
        <f t="shared" si="19"/>
        <v>4</v>
      </c>
      <c r="Q1061" s="4">
        <v>58166</v>
      </c>
      <c r="R1061" s="12">
        <v>132.59550535604305</v>
      </c>
      <c r="S1061" s="12">
        <v>329.68718345619413</v>
      </c>
      <c r="T1061" s="16">
        <v>0.99993552216264991</v>
      </c>
      <c r="U1061" s="12">
        <v>213.36358165339652</v>
      </c>
    </row>
    <row r="1062" spans="1:21" x14ac:dyDescent="0.25">
      <c r="A1062" s="4">
        <v>58196</v>
      </c>
      <c r="B1062" s="10"/>
      <c r="C1062" s="9">
        <v>19.159372501657035</v>
      </c>
      <c r="D1062" s="5">
        <f t="shared" si="19"/>
        <v>5</v>
      </c>
      <c r="Q1062" s="4">
        <v>58196</v>
      </c>
      <c r="R1062" s="12">
        <v>8.4846401980599317</v>
      </c>
      <c r="S1062" s="12">
        <v>4.830232925858323</v>
      </c>
      <c r="T1062" s="16">
        <v>0.29450133715147231</v>
      </c>
      <c r="U1062" s="12">
        <v>4.7405397342329723</v>
      </c>
    </row>
    <row r="1063" spans="1:21" x14ac:dyDescent="0.25">
      <c r="A1063" s="4">
        <v>58227</v>
      </c>
      <c r="B1063" s="10"/>
      <c r="C1063" s="9">
        <v>59.475033555625103</v>
      </c>
      <c r="D1063" s="5">
        <f t="shared" si="19"/>
        <v>6</v>
      </c>
      <c r="Q1063" s="4">
        <v>58227</v>
      </c>
      <c r="R1063" s="12">
        <v>21.42069643085906</v>
      </c>
      <c r="S1063" s="12">
        <v>23.880257726467015</v>
      </c>
      <c r="T1063" s="16">
        <v>0.86771143348041424</v>
      </c>
      <c r="U1063" s="12">
        <v>25.529020753209739</v>
      </c>
    </row>
    <row r="1064" spans="1:21" x14ac:dyDescent="0.25">
      <c r="A1064" s="4">
        <v>58257</v>
      </c>
      <c r="B1064" s="10"/>
      <c r="C1064" s="9">
        <v>60.57869139902634</v>
      </c>
      <c r="D1064" s="5">
        <f t="shared" si="19"/>
        <v>7</v>
      </c>
      <c r="Q1064" s="4">
        <v>58257</v>
      </c>
      <c r="R1064" s="12">
        <v>12.312418718471656</v>
      </c>
      <c r="S1064" s="12">
        <v>11.526243990990716</v>
      </c>
      <c r="T1064" s="16">
        <v>0.7478424279286533</v>
      </c>
      <c r="U1064" s="12">
        <v>12.739131637997836</v>
      </c>
    </row>
    <row r="1065" spans="1:21" x14ac:dyDescent="0.25">
      <c r="A1065" s="4">
        <v>58288</v>
      </c>
      <c r="B1065" s="10"/>
      <c r="C1065" s="9">
        <v>6.8097862420284452</v>
      </c>
      <c r="D1065" s="5">
        <f t="shared" si="19"/>
        <v>8</v>
      </c>
      <c r="Q1065" s="4">
        <v>58288</v>
      </c>
      <c r="R1065" s="12">
        <v>2.3406972174867877</v>
      </c>
      <c r="S1065" s="12">
        <v>0.82340330237634562</v>
      </c>
      <c r="T1065" s="16">
        <v>0.17120157376621034</v>
      </c>
      <c r="U1065" s="12">
        <v>0.95428815738060602</v>
      </c>
    </row>
    <row r="1066" spans="1:21" x14ac:dyDescent="0.25">
      <c r="A1066" s="4">
        <v>58319</v>
      </c>
      <c r="B1066" s="10"/>
      <c r="C1066" s="9">
        <v>71.812582210680446</v>
      </c>
      <c r="D1066" s="5">
        <f t="shared" si="19"/>
        <v>9</v>
      </c>
      <c r="Q1066" s="4">
        <v>58319</v>
      </c>
      <c r="R1066" s="12">
        <v>28.968599962932853</v>
      </c>
      <c r="S1066" s="12">
        <v>31.222683964330255</v>
      </c>
      <c r="T1066" s="16">
        <v>0.8709323570177423</v>
      </c>
      <c r="U1066" s="12">
        <v>33.360984683240375</v>
      </c>
    </row>
    <row r="1067" spans="1:21" x14ac:dyDescent="0.25">
      <c r="A1067" s="4">
        <v>58349</v>
      </c>
      <c r="B1067" s="10"/>
      <c r="C1067" s="9">
        <v>28.453079031282346</v>
      </c>
      <c r="D1067" s="5">
        <f t="shared" si="19"/>
        <v>10</v>
      </c>
      <c r="Q1067" s="4">
        <v>58349</v>
      </c>
      <c r="R1067" s="12">
        <v>35.327439719266657</v>
      </c>
      <c r="S1067" s="12">
        <v>35.066402981578307</v>
      </c>
      <c r="T1067" s="16">
        <v>0.71247305398284699</v>
      </c>
      <c r="U1067" s="12">
        <v>35.233272617262756</v>
      </c>
    </row>
    <row r="1068" spans="1:21" x14ac:dyDescent="0.25">
      <c r="A1068" s="4">
        <v>58380</v>
      </c>
      <c r="B1068" s="10"/>
      <c r="C1068" s="9">
        <v>4.8100875174945168</v>
      </c>
      <c r="D1068" s="5">
        <f t="shared" si="19"/>
        <v>11</v>
      </c>
      <c r="Q1068" s="4">
        <v>58380</v>
      </c>
      <c r="R1068" s="12">
        <v>4.9511649917793052</v>
      </c>
      <c r="S1068" s="12">
        <v>4.5256810040937996</v>
      </c>
      <c r="T1068" s="16">
        <v>0.18778737015430463</v>
      </c>
      <c r="U1068" s="12">
        <v>4.3868479916832994</v>
      </c>
    </row>
    <row r="1069" spans="1:21" x14ac:dyDescent="0.25">
      <c r="A1069" s="4">
        <v>58410</v>
      </c>
      <c r="B1069" s="10"/>
      <c r="C1069" s="9">
        <v>26.086680777050436</v>
      </c>
      <c r="D1069" s="5">
        <f t="shared" si="19"/>
        <v>12</v>
      </c>
      <c r="Q1069" s="4">
        <v>58410</v>
      </c>
      <c r="R1069" s="12">
        <v>47.538848145088579</v>
      </c>
      <c r="S1069" s="12">
        <v>45.845090823291343</v>
      </c>
      <c r="T1069" s="16">
        <v>0.82669242018145606</v>
      </c>
      <c r="U1069" s="12">
        <v>45.07069907906628</v>
      </c>
    </row>
    <row r="1070" spans="1:21" x14ac:dyDescent="0.25">
      <c r="A1070" s="4">
        <v>58441</v>
      </c>
      <c r="B1070" s="10"/>
      <c r="C1070" s="9">
        <v>2.9710282406476081</v>
      </c>
      <c r="D1070" s="5">
        <f t="shared" si="19"/>
        <v>1</v>
      </c>
      <c r="Q1070" s="4">
        <v>58441</v>
      </c>
      <c r="R1070" s="12">
        <v>5.0896704190591029</v>
      </c>
      <c r="S1070" s="12">
        <v>0.75618137923275863</v>
      </c>
      <c r="T1070" s="16">
        <v>0.15580757304227652</v>
      </c>
      <c r="U1070" s="12">
        <v>0.57598193741115389</v>
      </c>
    </row>
    <row r="1071" spans="1:21" x14ac:dyDescent="0.25">
      <c r="A1071" s="4">
        <v>58472</v>
      </c>
      <c r="B1071" s="10"/>
      <c r="C1071" s="9">
        <v>31.620206305205549</v>
      </c>
      <c r="D1071" s="5">
        <f t="shared" si="19"/>
        <v>2</v>
      </c>
      <c r="Q1071" s="4">
        <v>58472</v>
      </c>
      <c r="R1071" s="12">
        <v>45.31201172098752</v>
      </c>
      <c r="S1071" s="12">
        <v>45.253366252044692</v>
      </c>
      <c r="T1071" s="16">
        <v>0.7892610562584047</v>
      </c>
      <c r="U1071" s="12">
        <v>44.625291738009096</v>
      </c>
    </row>
    <row r="1072" spans="1:21" x14ac:dyDescent="0.25">
      <c r="A1072" s="4">
        <v>58501</v>
      </c>
      <c r="B1072" s="10"/>
      <c r="C1072" s="9">
        <v>52.977473302572918</v>
      </c>
      <c r="D1072" s="5">
        <f t="shared" si="19"/>
        <v>3</v>
      </c>
      <c r="Q1072" s="4">
        <v>58501</v>
      </c>
      <c r="R1072" s="12">
        <v>59.922994079886948</v>
      </c>
      <c r="S1072" s="12">
        <v>76.926787440859272</v>
      </c>
      <c r="T1072" s="16">
        <v>0.94986556059151428</v>
      </c>
      <c r="U1072" s="12">
        <v>77.27351487378526</v>
      </c>
    </row>
    <row r="1073" spans="1:21" x14ac:dyDescent="0.25">
      <c r="A1073" s="4">
        <v>58532</v>
      </c>
      <c r="B1073" s="10"/>
      <c r="C1073" s="9">
        <v>11.539379320100071</v>
      </c>
      <c r="D1073" s="5">
        <f t="shared" si="19"/>
        <v>4</v>
      </c>
      <c r="Q1073" s="4">
        <v>58532</v>
      </c>
      <c r="R1073" s="12">
        <v>9.2739676537326652</v>
      </c>
      <c r="S1073" s="12">
        <v>4.5132677971021984</v>
      </c>
      <c r="T1073" s="16">
        <v>0.23953851527768641</v>
      </c>
      <c r="U1073" s="12">
        <v>5.1191386032742683</v>
      </c>
    </row>
    <row r="1074" spans="1:21" x14ac:dyDescent="0.25">
      <c r="A1074" s="4">
        <v>58562</v>
      </c>
      <c r="B1074" s="10"/>
      <c r="C1074" s="9">
        <v>14.947596903860651</v>
      </c>
      <c r="D1074" s="5">
        <f t="shared" si="19"/>
        <v>5</v>
      </c>
      <c r="Q1074" s="4">
        <v>58562</v>
      </c>
      <c r="R1074" s="12">
        <v>6.6194747006418684</v>
      </c>
      <c r="S1074" s="12">
        <v>3.2283515396018032</v>
      </c>
      <c r="T1074" s="16">
        <v>0.20350253841798083</v>
      </c>
      <c r="U1074" s="12">
        <v>2.9650068525421012</v>
      </c>
    </row>
    <row r="1075" spans="1:21" x14ac:dyDescent="0.25">
      <c r="A1075" s="4">
        <v>58593</v>
      </c>
      <c r="B1075" s="10"/>
      <c r="C1075" s="9">
        <v>25.172104822354562</v>
      </c>
      <c r="D1075" s="5">
        <f t="shared" si="19"/>
        <v>6</v>
      </c>
      <c r="Q1075" s="4">
        <v>58593</v>
      </c>
      <c r="R1075" s="12">
        <v>9.0660565230471075</v>
      </c>
      <c r="S1075" s="12">
        <v>5.1851092289265415</v>
      </c>
      <c r="T1075" s="16">
        <v>0.52562616382813121</v>
      </c>
      <c r="U1075" s="12">
        <v>5.4104263226631595</v>
      </c>
    </row>
    <row r="1076" spans="1:21" x14ac:dyDescent="0.25">
      <c r="A1076" s="4">
        <v>58623</v>
      </c>
      <c r="B1076" s="10"/>
      <c r="C1076" s="9">
        <v>46.641725990823907</v>
      </c>
      <c r="D1076" s="5">
        <f t="shared" si="19"/>
        <v>7</v>
      </c>
      <c r="Q1076" s="4">
        <v>58623</v>
      </c>
      <c r="R1076" s="12">
        <v>9.4797765829665366</v>
      </c>
      <c r="S1076" s="12">
        <v>6.762078763527871</v>
      </c>
      <c r="T1076" s="16">
        <v>0.59771897217793135</v>
      </c>
      <c r="U1076" s="12">
        <v>7.8689272340593712</v>
      </c>
    </row>
    <row r="1077" spans="1:21" x14ac:dyDescent="0.25">
      <c r="A1077" s="4">
        <v>58654</v>
      </c>
      <c r="B1077" s="10"/>
      <c r="C1077" s="9">
        <v>46.667146121119252</v>
      </c>
      <c r="D1077" s="5">
        <f t="shared" si="19"/>
        <v>8</v>
      </c>
      <c r="Q1077" s="4">
        <v>58654</v>
      </c>
      <c r="R1077" s="12">
        <v>16.040688384546932</v>
      </c>
      <c r="S1077" s="12">
        <v>16.802897130907283</v>
      </c>
      <c r="T1077" s="16">
        <v>0.84157227612946828</v>
      </c>
      <c r="U1077" s="12">
        <v>17.506719784405146</v>
      </c>
    </row>
    <row r="1078" spans="1:21" x14ac:dyDescent="0.25">
      <c r="A1078" s="4">
        <v>58685</v>
      </c>
      <c r="B1078" s="10"/>
      <c r="C1078" s="9">
        <v>4.0266108990095724</v>
      </c>
      <c r="D1078" s="5">
        <f t="shared" si="19"/>
        <v>9</v>
      </c>
      <c r="Q1078" s="4">
        <v>58685</v>
      </c>
      <c r="R1078" s="12">
        <v>1.6243014350547258</v>
      </c>
      <c r="S1078" s="12">
        <v>0.30780288513418697</v>
      </c>
      <c r="T1078" s="16">
        <v>0.12480259301305247</v>
      </c>
      <c r="U1078" s="12">
        <v>4.9106132405587942E-2</v>
      </c>
    </row>
    <row r="1079" spans="1:21" x14ac:dyDescent="0.25">
      <c r="A1079" s="4">
        <v>58715</v>
      </c>
      <c r="B1079" s="10"/>
      <c r="C1079" s="9">
        <v>1.5176424695226456</v>
      </c>
      <c r="D1079" s="5">
        <f t="shared" si="19"/>
        <v>10</v>
      </c>
      <c r="Q1079" s="4">
        <v>58715</v>
      </c>
      <c r="R1079" s="12">
        <v>1.8843100530004013</v>
      </c>
      <c r="S1079" s="12">
        <v>1.5939788743470109</v>
      </c>
      <c r="T1079" s="16">
        <v>4.0113626453309729E-2</v>
      </c>
      <c r="U1079" s="12">
        <v>1.4826354613344632</v>
      </c>
    </row>
    <row r="1080" spans="1:21" x14ac:dyDescent="0.25">
      <c r="A1080" s="4">
        <v>58746</v>
      </c>
      <c r="B1080" s="10"/>
      <c r="C1080" s="9">
        <v>52.684712751891425</v>
      </c>
      <c r="D1080" s="5">
        <f t="shared" si="19"/>
        <v>11</v>
      </c>
      <c r="Q1080" s="4">
        <v>58746</v>
      </c>
      <c r="R1080" s="12">
        <v>54.229929170807637</v>
      </c>
      <c r="S1080" s="12">
        <v>54.117627813988385</v>
      </c>
      <c r="T1080" s="16">
        <v>0.78919430471303076</v>
      </c>
      <c r="U1080" s="12">
        <v>54.322724868288596</v>
      </c>
    </row>
    <row r="1081" spans="1:21" x14ac:dyDescent="0.25">
      <c r="A1081" s="4">
        <v>58776</v>
      </c>
      <c r="B1081" s="10"/>
      <c r="C1081" s="9">
        <v>114.64430300390015</v>
      </c>
      <c r="D1081" s="5">
        <f t="shared" si="19"/>
        <v>12</v>
      </c>
      <c r="Q1081" s="4">
        <v>58776</v>
      </c>
      <c r="R1081" s="12">
        <v>208.92110260330932</v>
      </c>
      <c r="S1081" s="12">
        <v>158.222594109466</v>
      </c>
      <c r="T1081" s="16">
        <v>0.99854633241525315</v>
      </c>
      <c r="U1081" s="12">
        <v>156.85030492592745</v>
      </c>
    </row>
    <row r="1082" spans="1:21" x14ac:dyDescent="0.25">
      <c r="A1082" s="4">
        <v>58807</v>
      </c>
      <c r="B1082" s="10"/>
      <c r="C1082" s="9">
        <v>1.8349844763521168</v>
      </c>
      <c r="D1082" s="5">
        <f t="shared" si="19"/>
        <v>1</v>
      </c>
      <c r="Q1082" s="4">
        <v>58807</v>
      </c>
      <c r="R1082" s="12">
        <v>3.1435131046368858</v>
      </c>
      <c r="S1082" s="12">
        <v>0.31237273561162049</v>
      </c>
      <c r="T1082" s="16">
        <v>9.6387722875569598E-2</v>
      </c>
      <c r="U1082" s="12">
        <v>0.18220014628267972</v>
      </c>
    </row>
    <row r="1083" spans="1:21" x14ac:dyDescent="0.25">
      <c r="A1083" s="4">
        <v>58838</v>
      </c>
      <c r="B1083" s="10"/>
      <c r="C1083" s="9">
        <v>54.255933342330515</v>
      </c>
      <c r="D1083" s="5">
        <f t="shared" si="19"/>
        <v>2</v>
      </c>
      <c r="Q1083" s="4">
        <v>58838</v>
      </c>
      <c r="R1083" s="12">
        <v>77.74919188734296</v>
      </c>
      <c r="S1083" s="12">
        <v>72.391484711886079</v>
      </c>
      <c r="T1083" s="16">
        <v>0.93063036199413784</v>
      </c>
      <c r="U1083" s="12">
        <v>73.019388203375854</v>
      </c>
    </row>
    <row r="1084" spans="1:21" x14ac:dyDescent="0.25">
      <c r="A1084" s="4">
        <v>58866</v>
      </c>
      <c r="B1084" s="10"/>
      <c r="C1084" s="9">
        <v>30.181084389634918</v>
      </c>
      <c r="D1084" s="5">
        <f t="shared" si="19"/>
        <v>3</v>
      </c>
      <c r="Q1084" s="4">
        <v>58866</v>
      </c>
      <c r="R1084" s="12">
        <v>34.137923695897129</v>
      </c>
      <c r="S1084" s="12">
        <v>34.062561085676407</v>
      </c>
      <c r="T1084" s="16">
        <v>0.76693744253486562</v>
      </c>
      <c r="U1084" s="12">
        <v>35.391906858838695</v>
      </c>
    </row>
    <row r="1085" spans="1:21" x14ac:dyDescent="0.25">
      <c r="A1085" s="4">
        <v>58897</v>
      </c>
      <c r="B1085" s="10"/>
      <c r="C1085" s="9">
        <v>25.443400373397967</v>
      </c>
      <c r="D1085" s="5">
        <f t="shared" si="19"/>
        <v>4</v>
      </c>
      <c r="Q1085" s="4">
        <v>58897</v>
      </c>
      <c r="R1085" s="12">
        <v>20.44835042841941</v>
      </c>
      <c r="S1085" s="12">
        <v>16.159743863211414</v>
      </c>
      <c r="T1085" s="16">
        <v>0.59057668398675056</v>
      </c>
      <c r="U1085" s="12">
        <v>18.069358228121398</v>
      </c>
    </row>
    <row r="1086" spans="1:21" x14ac:dyDescent="0.25">
      <c r="A1086" s="4">
        <v>58927</v>
      </c>
      <c r="B1086" s="10"/>
      <c r="C1086" s="9">
        <v>25.650427743505567</v>
      </c>
      <c r="D1086" s="5">
        <f t="shared" si="19"/>
        <v>5</v>
      </c>
      <c r="Q1086" s="4">
        <v>58927</v>
      </c>
      <c r="R1086" s="12">
        <v>11.359174227191234</v>
      </c>
      <c r="S1086" s="12">
        <v>7.7559974241917606</v>
      </c>
      <c r="T1086" s="16">
        <v>0.4316511117799286</v>
      </c>
      <c r="U1086" s="12">
        <v>8.017592388172158</v>
      </c>
    </row>
    <row r="1087" spans="1:21" x14ac:dyDescent="0.25">
      <c r="A1087" s="4">
        <v>58958</v>
      </c>
      <c r="B1087" s="10"/>
      <c r="C1087" s="9">
        <v>104.78181763076171</v>
      </c>
      <c r="D1087" s="5">
        <f t="shared" si="19"/>
        <v>6</v>
      </c>
      <c r="Q1087" s="4">
        <v>58958</v>
      </c>
      <c r="R1087" s="12">
        <v>37.738516025265852</v>
      </c>
      <c r="S1087" s="12">
        <v>65.299743589239043</v>
      </c>
      <c r="T1087" s="16">
        <v>0.9778459735137035</v>
      </c>
      <c r="U1087" s="12">
        <v>60.391728417216626</v>
      </c>
    </row>
    <row r="1088" spans="1:21" x14ac:dyDescent="0.25">
      <c r="A1088" s="4">
        <v>58988</v>
      </c>
      <c r="B1088" s="10"/>
      <c r="C1088" s="9">
        <v>114.68586281876891</v>
      </c>
      <c r="D1088" s="5">
        <f t="shared" si="19"/>
        <v>7</v>
      </c>
      <c r="Q1088" s="4">
        <v>58988</v>
      </c>
      <c r="R1088" s="12">
        <v>23.309522399762145</v>
      </c>
      <c r="S1088" s="12">
        <v>42.373556977497927</v>
      </c>
      <c r="T1088" s="16">
        <v>0.96952863081086083</v>
      </c>
      <c r="U1088" s="12">
        <v>36.253960223421231</v>
      </c>
    </row>
    <row r="1089" spans="1:21" x14ac:dyDescent="0.25">
      <c r="A1089" s="4">
        <v>59019</v>
      </c>
      <c r="B1089" s="10"/>
      <c r="C1089" s="9">
        <v>33.353503540085811</v>
      </c>
      <c r="D1089" s="5">
        <f t="shared" si="19"/>
        <v>8</v>
      </c>
      <c r="Q1089" s="4">
        <v>59019</v>
      </c>
      <c r="R1089" s="12">
        <v>11.464449860097162</v>
      </c>
      <c r="S1089" s="12">
        <v>9.9269252336295892</v>
      </c>
      <c r="T1089" s="16">
        <v>0.71509163852885904</v>
      </c>
      <c r="U1089" s="12">
        <v>11.052100961504729</v>
      </c>
    </row>
    <row r="1090" spans="1:21" x14ac:dyDescent="0.25">
      <c r="A1090" s="4">
        <v>59050</v>
      </c>
      <c r="B1090" s="10"/>
      <c r="C1090" s="9">
        <v>70.745494020324941</v>
      </c>
      <c r="D1090" s="5">
        <f t="shared" si="19"/>
        <v>9</v>
      </c>
      <c r="Q1090" s="4">
        <v>59050</v>
      </c>
      <c r="R1090" s="12">
        <v>28.538145438670096</v>
      </c>
      <c r="S1090" s="12">
        <v>30.482157106694629</v>
      </c>
      <c r="T1090" s="16">
        <v>0.86708552354962554</v>
      </c>
      <c r="U1090" s="12">
        <v>32.540074509511783</v>
      </c>
    </row>
    <row r="1091" spans="1:21" x14ac:dyDescent="0.25">
      <c r="A1091" s="4">
        <v>59080</v>
      </c>
      <c r="B1091" s="10"/>
      <c r="C1091" s="9">
        <v>105.30110140494948</v>
      </c>
      <c r="D1091" s="5">
        <f t="shared" ref="D1091:D1154" si="20">MONTH(A1091)</f>
        <v>10</v>
      </c>
      <c r="Q1091" s="4">
        <v>59080</v>
      </c>
      <c r="R1091" s="12">
        <v>130.74220572634039</v>
      </c>
      <c r="S1091" s="12">
        <v>139.37978847277233</v>
      </c>
      <c r="T1091" s="16">
        <v>0.99430069974743707</v>
      </c>
      <c r="U1091" s="12">
        <v>138.04851907766181</v>
      </c>
    </row>
    <row r="1092" spans="1:21" x14ac:dyDescent="0.25">
      <c r="A1092" s="4">
        <v>59111</v>
      </c>
      <c r="B1092" s="10"/>
      <c r="C1092" s="9">
        <v>32.31413037224435</v>
      </c>
      <c r="D1092" s="5">
        <f t="shared" si="20"/>
        <v>11</v>
      </c>
      <c r="Q1092" s="4">
        <v>59111</v>
      </c>
      <c r="R1092" s="12">
        <v>33.261887742571822</v>
      </c>
      <c r="S1092" s="12">
        <v>32.603267717569189</v>
      </c>
      <c r="T1092" s="16">
        <v>0.6383883319072341</v>
      </c>
      <c r="U1092" s="12">
        <v>32.668649814113842</v>
      </c>
    </row>
    <row r="1093" spans="1:21" x14ac:dyDescent="0.25">
      <c r="A1093" s="4">
        <v>59141</v>
      </c>
      <c r="B1093" s="10"/>
      <c r="C1093" s="9">
        <v>3.627632198229187</v>
      </c>
      <c r="D1093" s="5">
        <f t="shared" si="20"/>
        <v>12</v>
      </c>
      <c r="Q1093" s="4">
        <v>59141</v>
      </c>
      <c r="R1093" s="12">
        <v>6.6107856983309983</v>
      </c>
      <c r="S1093" s="12">
        <v>8.7976747696764139</v>
      </c>
      <c r="T1093" s="16">
        <v>0.29634000638802294</v>
      </c>
      <c r="U1093" s="12">
        <v>10.36342931997407</v>
      </c>
    </row>
    <row r="1094" spans="1:21" x14ac:dyDescent="0.25">
      <c r="A1094" s="4">
        <v>59172</v>
      </c>
      <c r="B1094" s="10"/>
      <c r="C1094" s="9">
        <v>3.6311885537447952</v>
      </c>
      <c r="D1094" s="5">
        <f t="shared" si="20"/>
        <v>1</v>
      </c>
      <c r="Q1094" s="4">
        <v>59172</v>
      </c>
      <c r="R1094" s="12">
        <v>6.220591482493746</v>
      </c>
      <c r="S1094" s="12">
        <v>1.0927083321108126</v>
      </c>
      <c r="T1094" s="16">
        <v>0.18911782643964228</v>
      </c>
      <c r="U1094" s="12">
        <v>0.91819638660813607</v>
      </c>
    </row>
    <row r="1095" spans="1:21" x14ac:dyDescent="0.25">
      <c r="A1095" s="4">
        <v>59203</v>
      </c>
      <c r="B1095" s="10"/>
      <c r="C1095" s="9">
        <v>36.967147754107685</v>
      </c>
      <c r="D1095" s="5">
        <f t="shared" si="20"/>
        <v>2</v>
      </c>
      <c r="Q1095" s="4">
        <v>59203</v>
      </c>
      <c r="R1095" s="12">
        <v>52.974222121056968</v>
      </c>
      <c r="S1095" s="12">
        <v>51.84323779333446</v>
      </c>
      <c r="T1095" s="16">
        <v>0.8379252492325997</v>
      </c>
      <c r="U1095" s="12">
        <v>51.410834475920012</v>
      </c>
    </row>
    <row r="1096" spans="1:21" x14ac:dyDescent="0.25">
      <c r="A1096" s="4">
        <v>59231</v>
      </c>
      <c r="B1096" s="10"/>
      <c r="C1096" s="9">
        <v>139.17614245825808</v>
      </c>
      <c r="D1096" s="5">
        <f t="shared" si="20"/>
        <v>3</v>
      </c>
      <c r="Q1096" s="4">
        <v>59231</v>
      </c>
      <c r="R1096" s="12">
        <v>157.42259191856675</v>
      </c>
      <c r="S1096" s="12">
        <v>311.47817929034215</v>
      </c>
      <c r="T1096" s="16">
        <v>0.99991753501281611</v>
      </c>
      <c r="U1096" s="12">
        <v>258.16970884886263</v>
      </c>
    </row>
    <row r="1097" spans="1:21" x14ac:dyDescent="0.25">
      <c r="A1097" s="4">
        <v>59262</v>
      </c>
      <c r="B1097" s="10"/>
      <c r="C1097" s="9">
        <v>26.553688722814684</v>
      </c>
      <c r="D1097" s="5">
        <f t="shared" si="20"/>
        <v>4</v>
      </c>
      <c r="Q1097" s="4">
        <v>59262</v>
      </c>
      <c r="R1097" s="12">
        <v>21.340666899970984</v>
      </c>
      <c r="S1097" s="12">
        <v>17.312424938653066</v>
      </c>
      <c r="T1097" s="16">
        <v>0.61279890284553939</v>
      </c>
      <c r="U1097" s="12">
        <v>19.26495077829928</v>
      </c>
    </row>
    <row r="1098" spans="1:21" x14ac:dyDescent="0.25">
      <c r="A1098" s="4">
        <v>59292</v>
      </c>
      <c r="B1098" s="10"/>
      <c r="C1098" s="9">
        <v>8.1056904653928719</v>
      </c>
      <c r="D1098" s="5">
        <f t="shared" si="20"/>
        <v>5</v>
      </c>
      <c r="Q1098" s="4">
        <v>59292</v>
      </c>
      <c r="R1098" s="12">
        <v>3.5895678289962487</v>
      </c>
      <c r="S1098" s="12">
        <v>1.1956074843908078</v>
      </c>
      <c r="T1098" s="16">
        <v>7.1852862685993585E-2</v>
      </c>
      <c r="U1098" s="12">
        <v>0.86048672150745786</v>
      </c>
    </row>
    <row r="1099" spans="1:21" x14ac:dyDescent="0.25">
      <c r="A1099" s="4">
        <v>59323</v>
      </c>
      <c r="B1099" s="10"/>
      <c r="C1099" s="9">
        <v>11.175843408076464</v>
      </c>
      <c r="D1099" s="5">
        <f t="shared" si="20"/>
        <v>6</v>
      </c>
      <c r="Q1099" s="4">
        <v>59323</v>
      </c>
      <c r="R1099" s="12">
        <v>4.0251233953373964</v>
      </c>
      <c r="S1099" s="12">
        <v>1.2256887738713971</v>
      </c>
      <c r="T1099" s="16">
        <v>0.24346647450814934</v>
      </c>
      <c r="U1099" s="12">
        <v>0.92198494371768736</v>
      </c>
    </row>
    <row r="1100" spans="1:21" x14ac:dyDescent="0.25">
      <c r="A1100" s="4">
        <v>59353</v>
      </c>
      <c r="B1100" s="10"/>
      <c r="C1100" s="9">
        <v>45.128667244992549</v>
      </c>
      <c r="D1100" s="5">
        <f t="shared" si="20"/>
        <v>7</v>
      </c>
      <c r="Q1100" s="4">
        <v>59353</v>
      </c>
      <c r="R1100" s="12">
        <v>9.1722523959283748</v>
      </c>
      <c r="S1100" s="12">
        <v>6.3221712495554749</v>
      </c>
      <c r="T1100" s="16">
        <v>0.57809595935599345</v>
      </c>
      <c r="U1100" s="12">
        <v>7.3867625040151541</v>
      </c>
    </row>
    <row r="1101" spans="1:21" x14ac:dyDescent="0.25">
      <c r="A1101" s="4">
        <v>59384</v>
      </c>
      <c r="B1101" s="10"/>
      <c r="C1101" s="9">
        <v>16.496557258521168</v>
      </c>
      <c r="D1101" s="5">
        <f t="shared" si="20"/>
        <v>8</v>
      </c>
      <c r="Q1101" s="4">
        <v>59384</v>
      </c>
      <c r="R1101" s="12">
        <v>5.6702874805112975</v>
      </c>
      <c r="S1101" s="12">
        <v>3.294012909063837</v>
      </c>
      <c r="T1101" s="16">
        <v>0.42317565766221032</v>
      </c>
      <c r="U1101" s="12">
        <v>3.9421848563947872</v>
      </c>
    </row>
    <row r="1102" spans="1:21" x14ac:dyDescent="0.25">
      <c r="A1102" s="4">
        <v>59415</v>
      </c>
      <c r="B1102" s="10"/>
      <c r="C1102" s="9">
        <v>12.629556957871079</v>
      </c>
      <c r="D1102" s="5">
        <f t="shared" si="20"/>
        <v>9</v>
      </c>
      <c r="Q1102" s="4">
        <v>59415</v>
      </c>
      <c r="R1102" s="12">
        <v>5.0946585119066956</v>
      </c>
      <c r="S1102" s="12">
        <v>1.9241933744335429</v>
      </c>
      <c r="T1102" s="16">
        <v>0.3229105012466495</v>
      </c>
      <c r="U1102" s="12">
        <v>0.94174792445890088</v>
      </c>
    </row>
    <row r="1103" spans="1:21" x14ac:dyDescent="0.25">
      <c r="A1103" s="4">
        <v>59445</v>
      </c>
      <c r="B1103" s="10"/>
      <c r="C1103" s="9">
        <v>86.623026878348739</v>
      </c>
      <c r="D1103" s="5">
        <f t="shared" si="20"/>
        <v>10</v>
      </c>
      <c r="Q1103" s="4">
        <v>59445</v>
      </c>
      <c r="R1103" s="12">
        <v>107.55144485350141</v>
      </c>
      <c r="S1103" s="12">
        <v>113.44198930739192</v>
      </c>
      <c r="T1103" s="16">
        <v>0.98495537184593673</v>
      </c>
      <c r="U1103" s="12">
        <v>112.82481228003867</v>
      </c>
    </row>
    <row r="1104" spans="1:21" x14ac:dyDescent="0.25">
      <c r="A1104" s="4">
        <v>59476</v>
      </c>
      <c r="B1104" s="10"/>
      <c r="C1104" s="9">
        <v>36.496356856008795</v>
      </c>
      <c r="D1104" s="5">
        <f t="shared" si="20"/>
        <v>11</v>
      </c>
      <c r="Q1104" s="4">
        <v>59476</v>
      </c>
      <c r="R1104" s="12">
        <v>37.566776848808423</v>
      </c>
      <c r="S1104" s="12">
        <v>36.987639822867621</v>
      </c>
      <c r="T1104" s="16">
        <v>0.67695984420699085</v>
      </c>
      <c r="U1104" s="12">
        <v>37.089117705672386</v>
      </c>
    </row>
    <row r="1105" spans="1:21" x14ac:dyDescent="0.25">
      <c r="A1105" s="4">
        <v>59506</v>
      </c>
      <c r="B1105" s="10"/>
      <c r="C1105" s="9">
        <v>45.718648693836805</v>
      </c>
      <c r="D1105" s="5">
        <f t="shared" si="20"/>
        <v>12</v>
      </c>
      <c r="Q1105" s="4">
        <v>59506</v>
      </c>
      <c r="R1105" s="12">
        <v>83.315003400777726</v>
      </c>
      <c r="S1105" s="12">
        <v>73.314162631744523</v>
      </c>
      <c r="T1105" s="16">
        <v>0.94229704176952145</v>
      </c>
      <c r="U1105" s="12">
        <v>71.183745737239619</v>
      </c>
    </row>
    <row r="1106" spans="1:21" x14ac:dyDescent="0.25">
      <c r="A1106" s="4">
        <v>59537</v>
      </c>
      <c r="B1106" s="10"/>
      <c r="C1106" s="9">
        <v>2.3022182335840391</v>
      </c>
      <c r="D1106" s="5">
        <f t="shared" si="20"/>
        <v>1</v>
      </c>
      <c r="Q1106" s="4">
        <v>59537</v>
      </c>
      <c r="R1106" s="12">
        <v>3.9439315592426216</v>
      </c>
      <c r="S1106" s="12">
        <v>0.47360424401595358</v>
      </c>
      <c r="T1106" s="16">
        <v>0.12111229091143735</v>
      </c>
      <c r="U1106" s="12">
        <v>0.31474386129558768</v>
      </c>
    </row>
    <row r="1107" spans="1:21" x14ac:dyDescent="0.25">
      <c r="A1107" s="4">
        <v>59568</v>
      </c>
      <c r="B1107" s="10"/>
      <c r="C1107" s="9">
        <v>45.846788931096768</v>
      </c>
      <c r="D1107" s="5">
        <f t="shared" si="20"/>
        <v>2</v>
      </c>
      <c r="Q1107" s="4">
        <v>59568</v>
      </c>
      <c r="R1107" s="12">
        <v>65.698819842092533</v>
      </c>
      <c r="S1107" s="12">
        <v>62.52384475889307</v>
      </c>
      <c r="T1107" s="16">
        <v>0.89518994741691238</v>
      </c>
      <c r="U1107" s="12">
        <v>62.561351691494053</v>
      </c>
    </row>
    <row r="1108" spans="1:21" x14ac:dyDescent="0.25">
      <c r="A1108" s="4">
        <v>59596</v>
      </c>
      <c r="B1108" s="10"/>
      <c r="C1108" s="9">
        <v>40.108450045484751</v>
      </c>
      <c r="D1108" s="5">
        <f t="shared" si="20"/>
        <v>3</v>
      </c>
      <c r="Q1108" s="4">
        <v>59596</v>
      </c>
      <c r="R1108" s="12">
        <v>45.366799599940514</v>
      </c>
      <c r="S1108" s="12">
        <v>51.415346585248308</v>
      </c>
      <c r="T1108" s="16">
        <v>0.87849304475272882</v>
      </c>
      <c r="U1108" s="12">
        <v>52.959648528983358</v>
      </c>
    </row>
    <row r="1109" spans="1:21" x14ac:dyDescent="0.25">
      <c r="A1109" s="4">
        <v>59627</v>
      </c>
      <c r="B1109" s="10"/>
      <c r="C1109" s="9">
        <v>50.014102887193502</v>
      </c>
      <c r="D1109" s="5">
        <f t="shared" si="20"/>
        <v>4</v>
      </c>
      <c r="Q1109" s="4">
        <v>59627</v>
      </c>
      <c r="R1109" s="12">
        <v>40.195331095352856</v>
      </c>
      <c r="S1109" s="12">
        <v>48.075240977532395</v>
      </c>
      <c r="T1109" s="16">
        <v>0.89396068442936671</v>
      </c>
      <c r="U1109" s="12">
        <v>47.518327228365855</v>
      </c>
    </row>
    <row r="1110" spans="1:21" x14ac:dyDescent="0.25">
      <c r="A1110" s="4">
        <v>59657</v>
      </c>
      <c r="B1110" s="10"/>
      <c r="C1110" s="9">
        <v>78.727149147643928</v>
      </c>
      <c r="D1110" s="5">
        <f t="shared" si="20"/>
        <v>5</v>
      </c>
      <c r="Q1110" s="4">
        <v>59657</v>
      </c>
      <c r="R1110" s="12">
        <v>34.863956754272017</v>
      </c>
      <c r="S1110" s="12">
        <v>47.878487886667529</v>
      </c>
      <c r="T1110" s="16">
        <v>0.94807319126017164</v>
      </c>
      <c r="U1110" s="12">
        <v>46.835046211527136</v>
      </c>
    </row>
    <row r="1111" spans="1:21" x14ac:dyDescent="0.25">
      <c r="A1111" s="4">
        <v>59688</v>
      </c>
      <c r="B1111" s="10"/>
      <c r="C1111" s="9">
        <v>1.8041904073488684</v>
      </c>
      <c r="D1111" s="5">
        <f t="shared" si="20"/>
        <v>6</v>
      </c>
      <c r="Q1111" s="4">
        <v>59688</v>
      </c>
      <c r="R1111" s="12">
        <v>0.64980232391365933</v>
      </c>
      <c r="S1111" s="12">
        <v>4.8038423740278148E-2</v>
      </c>
      <c r="T1111" s="16">
        <v>2.7116632052049137E-2</v>
      </c>
      <c r="U1111" s="12">
        <v>8.2128938805259427E-3</v>
      </c>
    </row>
    <row r="1112" spans="1:21" x14ac:dyDescent="0.25">
      <c r="A1112" s="4">
        <v>59718</v>
      </c>
      <c r="B1112" s="10"/>
      <c r="C1112" s="9">
        <v>19.237947224833466</v>
      </c>
      <c r="D1112" s="5">
        <f t="shared" si="20"/>
        <v>7</v>
      </c>
      <c r="Q1112" s="4">
        <v>59718</v>
      </c>
      <c r="R1112" s="12">
        <v>3.9100491616069553</v>
      </c>
      <c r="S1112" s="12">
        <v>1.1105746250670454</v>
      </c>
      <c r="T1112" s="16">
        <v>0.17363825166775543</v>
      </c>
      <c r="U1112" s="12">
        <v>1.1753367708746592</v>
      </c>
    </row>
    <row r="1113" spans="1:21" x14ac:dyDescent="0.25">
      <c r="A1113" s="4">
        <v>59749</v>
      </c>
      <c r="B1113" s="10"/>
      <c r="C1113" s="9">
        <v>99.986620582886403</v>
      </c>
      <c r="D1113" s="5">
        <f t="shared" si="20"/>
        <v>8</v>
      </c>
      <c r="Q1113" s="4">
        <v>59749</v>
      </c>
      <c r="R1113" s="12">
        <v>34.367951689854493</v>
      </c>
      <c r="S1113" s="12">
        <v>55.454032989572958</v>
      </c>
      <c r="T1113" s="16">
        <v>0.98639154460997969</v>
      </c>
      <c r="U1113" s="12">
        <v>46.387612105124198</v>
      </c>
    </row>
    <row r="1114" spans="1:21" x14ac:dyDescent="0.25">
      <c r="A1114" s="4">
        <v>59780</v>
      </c>
      <c r="B1114" s="10"/>
      <c r="C1114" s="9">
        <v>65.498387901395049</v>
      </c>
      <c r="D1114" s="5">
        <f t="shared" si="20"/>
        <v>9</v>
      </c>
      <c r="Q1114" s="4">
        <v>59780</v>
      </c>
      <c r="R1114" s="12">
        <v>26.421506356170561</v>
      </c>
      <c r="S1114" s="12">
        <v>26.939207298280458</v>
      </c>
      <c r="T1114" s="16">
        <v>0.84641364656733242</v>
      </c>
      <c r="U1114" s="12">
        <v>28.580992970481727</v>
      </c>
    </row>
    <row r="1115" spans="1:21" x14ac:dyDescent="0.25">
      <c r="A1115" s="4">
        <v>59810</v>
      </c>
      <c r="B1115" s="10"/>
      <c r="C1115" s="9">
        <v>31.237936347492926</v>
      </c>
      <c r="D1115" s="5">
        <f t="shared" si="20"/>
        <v>10</v>
      </c>
      <c r="Q1115" s="4">
        <v>59810</v>
      </c>
      <c r="R1115" s="12">
        <v>38.785128036830578</v>
      </c>
      <c r="S1115" s="12">
        <v>38.695168145150717</v>
      </c>
      <c r="T1115" s="16">
        <v>0.7491024125188257</v>
      </c>
      <c r="U1115" s="12">
        <v>38.882019351408424</v>
      </c>
    </row>
    <row r="1116" spans="1:21" x14ac:dyDescent="0.25">
      <c r="A1116" s="4">
        <v>59841</v>
      </c>
      <c r="B1116" s="10"/>
      <c r="C1116" s="9">
        <v>60.048330093040342</v>
      </c>
      <c r="D1116" s="5">
        <f t="shared" si="20"/>
        <v>11</v>
      </c>
      <c r="Q1116" s="4">
        <v>59841</v>
      </c>
      <c r="R1116" s="12">
        <v>61.809517745808463</v>
      </c>
      <c r="S1116" s="12">
        <v>61.978165562578717</v>
      </c>
      <c r="T1116" s="16">
        <v>0.82574832145052668</v>
      </c>
      <c r="U1116" s="12">
        <v>62.209214406167924</v>
      </c>
    </row>
    <row r="1117" spans="1:21" x14ac:dyDescent="0.25">
      <c r="A1117" s="4">
        <v>59871</v>
      </c>
      <c r="B1117" s="10"/>
      <c r="C1117" s="9">
        <v>4.7906908155737815</v>
      </c>
      <c r="D1117" s="5">
        <f t="shared" si="20"/>
        <v>12</v>
      </c>
      <c r="Q1117" s="4">
        <v>59871</v>
      </c>
      <c r="R1117" s="12">
        <v>8.7302760032233984</v>
      </c>
      <c r="S1117" s="12">
        <v>11.102645434685597</v>
      </c>
      <c r="T1117" s="16">
        <v>0.35407444823265172</v>
      </c>
      <c r="U1117" s="12">
        <v>12.61130400138112</v>
      </c>
    </row>
    <row r="1118" spans="1:21" x14ac:dyDescent="0.25">
      <c r="A1118" s="4">
        <v>59902</v>
      </c>
      <c r="B1118" s="10"/>
      <c r="C1118" s="9">
        <v>26.485426020486205</v>
      </c>
      <c r="D1118" s="5">
        <f t="shared" si="20"/>
        <v>1</v>
      </c>
      <c r="Q1118" s="4">
        <v>59902</v>
      </c>
      <c r="R1118" s="12">
        <v>45.372200610002778</v>
      </c>
      <c r="S1118" s="12">
        <v>41.856394312801605</v>
      </c>
      <c r="T1118" s="16">
        <v>0.81533630973389459</v>
      </c>
      <c r="U1118" s="12">
        <v>47.391541403742444</v>
      </c>
    </row>
    <row r="1119" spans="1:21" x14ac:dyDescent="0.25">
      <c r="A1119" s="4">
        <v>59933</v>
      </c>
      <c r="B1119" s="10"/>
      <c r="C1119" s="9">
        <v>50.724247722416699</v>
      </c>
      <c r="D1119" s="5">
        <f t="shared" si="20"/>
        <v>2</v>
      </c>
      <c r="Q1119" s="4">
        <v>59933</v>
      </c>
      <c r="R1119" s="12">
        <v>72.688257791601998</v>
      </c>
      <c r="S1119" s="12">
        <v>68.273377077597956</v>
      </c>
      <c r="T1119" s="16">
        <v>0.91750276696505539</v>
      </c>
      <c r="U1119" s="12">
        <v>68.63740111834187</v>
      </c>
    </row>
    <row r="1120" spans="1:21" x14ac:dyDescent="0.25">
      <c r="A1120" s="4">
        <v>59962</v>
      </c>
      <c r="B1120" s="10"/>
      <c r="C1120" s="9">
        <v>24.013850321427242</v>
      </c>
      <c r="D1120" s="5">
        <f t="shared" si="20"/>
        <v>3</v>
      </c>
      <c r="Q1120" s="4">
        <v>59962</v>
      </c>
      <c r="R1120" s="12">
        <v>27.162144982408776</v>
      </c>
      <c r="S1120" s="12">
        <v>24.464774593810031</v>
      </c>
      <c r="T1120" s="16">
        <v>0.65789599118280706</v>
      </c>
      <c r="U1120" s="12">
        <v>25.258604667587001</v>
      </c>
    </row>
    <row r="1121" spans="1:21" x14ac:dyDescent="0.25">
      <c r="A1121" s="4">
        <v>59993</v>
      </c>
      <c r="B1121" s="10"/>
      <c r="C1121" s="9">
        <v>11.253229022107957</v>
      </c>
      <c r="D1121" s="5">
        <f t="shared" si="20"/>
        <v>4</v>
      </c>
      <c r="Q1121" s="4">
        <v>59993</v>
      </c>
      <c r="R1121" s="12">
        <v>9.0439944000532115</v>
      </c>
      <c r="S1121" s="12">
        <v>4.3341032140308515</v>
      </c>
      <c r="T1121" s="16">
        <v>0.23145766840765267</v>
      </c>
      <c r="U1121" s="12">
        <v>4.9068778727198099</v>
      </c>
    </row>
    <row r="1122" spans="1:21" x14ac:dyDescent="0.25">
      <c r="A1122" s="4">
        <v>60023</v>
      </c>
      <c r="B1122" s="10"/>
      <c r="C1122" s="9">
        <v>25.509917172940757</v>
      </c>
      <c r="D1122" s="5">
        <f t="shared" si="20"/>
        <v>5</v>
      </c>
      <c r="Q1122" s="4">
        <v>60023</v>
      </c>
      <c r="R1122" s="12">
        <v>11.296949765760495</v>
      </c>
      <c r="S1122" s="12">
        <v>7.6871547930769122</v>
      </c>
      <c r="T1122" s="16">
        <v>0.42880651275923509</v>
      </c>
      <c r="U1122" s="12">
        <v>7.9407580653603924</v>
      </c>
    </row>
    <row r="1123" spans="1:21" x14ac:dyDescent="0.25">
      <c r="A1123" s="4">
        <v>60054</v>
      </c>
      <c r="B1123" s="10"/>
      <c r="C1123" s="9">
        <v>45.410905818040504</v>
      </c>
      <c r="D1123" s="5">
        <f t="shared" si="20"/>
        <v>6</v>
      </c>
      <c r="Q1123" s="4">
        <v>60054</v>
      </c>
      <c r="R1123" s="12">
        <v>16.355320376050077</v>
      </c>
      <c r="S1123" s="12">
        <v>14.787916563760204</v>
      </c>
      <c r="T1123" s="16">
        <v>0.77377990481888048</v>
      </c>
      <c r="U1123" s="12">
        <v>16.242545270581772</v>
      </c>
    </row>
    <row r="1124" spans="1:21" x14ac:dyDescent="0.25">
      <c r="A1124" s="4">
        <v>60084</v>
      </c>
      <c r="B1124" s="10"/>
      <c r="C1124" s="9">
        <v>47.393309753143654</v>
      </c>
      <c r="D1124" s="5">
        <f t="shared" si="20"/>
        <v>7</v>
      </c>
      <c r="Q1124" s="4">
        <v>60084</v>
      </c>
      <c r="R1124" s="12">
        <v>9.632533497485058</v>
      </c>
      <c r="S1124" s="12">
        <v>6.9862039331507129</v>
      </c>
      <c r="T1124" s="16">
        <v>0.60722316357874151</v>
      </c>
      <c r="U1124" s="12">
        <v>8.112201776592654</v>
      </c>
    </row>
    <row r="1125" spans="1:21" x14ac:dyDescent="0.25">
      <c r="A1125" s="4">
        <v>60115</v>
      </c>
      <c r="B1125" s="10"/>
      <c r="C1125" s="9">
        <v>21.800073688423726</v>
      </c>
      <c r="D1125" s="5">
        <f t="shared" si="20"/>
        <v>8</v>
      </c>
      <c r="Q1125" s="4">
        <v>60115</v>
      </c>
      <c r="R1125" s="12">
        <v>7.4932413456051039</v>
      </c>
      <c r="S1125" s="12">
        <v>5.098313193418436</v>
      </c>
      <c r="T1125" s="16">
        <v>0.53485764422260507</v>
      </c>
      <c r="U1125" s="12">
        <v>5.9945538756529304</v>
      </c>
    </row>
    <row r="1126" spans="1:21" x14ac:dyDescent="0.25">
      <c r="A1126" s="4">
        <v>60146</v>
      </c>
      <c r="B1126" s="10"/>
      <c r="C1126" s="9">
        <v>46.691388105856689</v>
      </c>
      <c r="D1126" s="5">
        <f t="shared" si="20"/>
        <v>9</v>
      </c>
      <c r="Q1126" s="4">
        <v>60146</v>
      </c>
      <c r="R1126" s="12">
        <v>18.834918646769371</v>
      </c>
      <c r="S1126" s="12">
        <v>15.656822310707813</v>
      </c>
      <c r="T1126" s="16">
        <v>0.74152238804348569</v>
      </c>
      <c r="U1126" s="12">
        <v>15.678056800985667</v>
      </c>
    </row>
    <row r="1127" spans="1:21" x14ac:dyDescent="0.25">
      <c r="A1127" s="4">
        <v>60176</v>
      </c>
      <c r="B1127" s="10"/>
      <c r="C1127" s="9">
        <v>34.912569292235894</v>
      </c>
      <c r="D1127" s="5">
        <f t="shared" si="20"/>
        <v>10</v>
      </c>
      <c r="Q1127" s="4">
        <v>60176</v>
      </c>
      <c r="R1127" s="12">
        <v>43.347564801692293</v>
      </c>
      <c r="S1127" s="12">
        <v>43.510220815957744</v>
      </c>
      <c r="T1127" s="16">
        <v>0.79066964362980197</v>
      </c>
      <c r="U1127" s="12">
        <v>43.714088938728345</v>
      </c>
    </row>
    <row r="1128" spans="1:21" x14ac:dyDescent="0.25">
      <c r="A1128" s="4">
        <v>60207</v>
      </c>
      <c r="B1128" s="10"/>
      <c r="C1128" s="9">
        <v>3.0762457084400294</v>
      </c>
      <c r="D1128" s="5">
        <f t="shared" si="20"/>
        <v>11</v>
      </c>
      <c r="Q1128" s="4">
        <v>60207</v>
      </c>
      <c r="R1128" s="12">
        <v>3.1664704649018822</v>
      </c>
      <c r="S1128" s="12">
        <v>2.8472952269521845</v>
      </c>
      <c r="T1128" s="16">
        <v>0.13503097714602655</v>
      </c>
      <c r="U1128" s="12">
        <v>2.726427566583173</v>
      </c>
    </row>
    <row r="1129" spans="1:21" x14ac:dyDescent="0.25">
      <c r="A1129" s="4">
        <v>60237</v>
      </c>
      <c r="B1129" s="10"/>
      <c r="C1129" s="9">
        <v>47.409387549240158</v>
      </c>
      <c r="D1129" s="5">
        <f t="shared" si="20"/>
        <v>12</v>
      </c>
      <c r="Q1129" s="4">
        <v>60237</v>
      </c>
      <c r="R1129" s="12">
        <v>86.396107447204784</v>
      </c>
      <c r="S1129" s="12">
        <v>75.576060796895973</v>
      </c>
      <c r="T1129" s="16">
        <v>0.94741194484492564</v>
      </c>
      <c r="U1129" s="12">
        <v>73.369427785868837</v>
      </c>
    </row>
    <row r="1130" spans="1:21" x14ac:dyDescent="0.25">
      <c r="A1130" s="4">
        <v>60268</v>
      </c>
      <c r="B1130" s="10"/>
      <c r="C1130" s="9">
        <v>6.7472963326386868</v>
      </c>
      <c r="D1130" s="5">
        <f t="shared" si="20"/>
        <v>1</v>
      </c>
      <c r="Q1130" s="4">
        <v>60268</v>
      </c>
      <c r="R1130" s="12">
        <v>11.558797753255796</v>
      </c>
      <c r="S1130" s="12">
        <v>3.4055202066478074</v>
      </c>
      <c r="T1130" s="16">
        <v>0.33231398766404685</v>
      </c>
      <c r="U1130" s="12">
        <v>3.6325120633905175</v>
      </c>
    </row>
    <row r="1131" spans="1:21" x14ac:dyDescent="0.25">
      <c r="A1131" s="4">
        <v>60299</v>
      </c>
      <c r="B1131" s="10"/>
      <c r="C1131" s="9">
        <v>65.90162004498093</v>
      </c>
      <c r="D1131" s="5">
        <f t="shared" si="20"/>
        <v>2</v>
      </c>
      <c r="Q1131" s="4">
        <v>60299</v>
      </c>
      <c r="R1131" s="12">
        <v>94.437555248292057</v>
      </c>
      <c r="S1131" s="12">
        <v>85.737582313372215</v>
      </c>
      <c r="T1131" s="16">
        <v>0.96082508092289776</v>
      </c>
      <c r="U1131" s="12">
        <v>87.383467530879869</v>
      </c>
    </row>
    <row r="1132" spans="1:21" x14ac:dyDescent="0.25">
      <c r="A1132" s="4">
        <v>60327</v>
      </c>
      <c r="B1132" s="10"/>
      <c r="C1132" s="9">
        <v>86.270470746195031</v>
      </c>
      <c r="D1132" s="5">
        <f t="shared" si="20"/>
        <v>3</v>
      </c>
      <c r="Q1132" s="4">
        <v>60327</v>
      </c>
      <c r="R1132" s="12">
        <v>97.580812853568801</v>
      </c>
      <c r="S1132" s="12">
        <v>155.84677846330052</v>
      </c>
      <c r="T1132" s="16">
        <v>0.99549614709993972</v>
      </c>
      <c r="U1132" s="12">
        <v>144.67254963202569</v>
      </c>
    </row>
    <row r="1133" spans="1:21" x14ac:dyDescent="0.25">
      <c r="A1133" s="4">
        <v>60358</v>
      </c>
      <c r="B1133" s="10"/>
      <c r="C1133" s="9">
        <v>14.515104060781617</v>
      </c>
      <c r="D1133" s="5">
        <f t="shared" si="20"/>
        <v>4</v>
      </c>
      <c r="Q1133" s="4">
        <v>60358</v>
      </c>
      <c r="R1133" s="12">
        <v>11.665497928105635</v>
      </c>
      <c r="S1133" s="12">
        <v>6.5346375012296907</v>
      </c>
      <c r="T1133" s="16">
        <v>0.32319476583822099</v>
      </c>
      <c r="U1133" s="12">
        <v>7.4896305337955873</v>
      </c>
    </row>
    <row r="1134" spans="1:21" x14ac:dyDescent="0.25">
      <c r="A1134" s="4">
        <v>60388</v>
      </c>
      <c r="B1134" s="10"/>
      <c r="C1134" s="9">
        <v>15.034366938495253</v>
      </c>
      <c r="D1134" s="5">
        <f t="shared" si="20"/>
        <v>5</v>
      </c>
      <c r="Q1134" s="4">
        <v>60388</v>
      </c>
      <c r="R1134" s="12">
        <v>6.6579004123286225</v>
      </c>
      <c r="S1134" s="12">
        <v>3.2588242538599865</v>
      </c>
      <c r="T1134" s="16">
        <v>0.20534720890797967</v>
      </c>
      <c r="U1134" s="12">
        <v>2.9983064996789901</v>
      </c>
    </row>
    <row r="1135" spans="1:21" x14ac:dyDescent="0.25">
      <c r="A1135" s="4">
        <v>60419</v>
      </c>
      <c r="B1135" s="10"/>
      <c r="C1135" s="9">
        <v>45.298968241611867</v>
      </c>
      <c r="D1135" s="5">
        <f t="shared" si="20"/>
        <v>6</v>
      </c>
      <c r="Q1135" s="4">
        <v>60419</v>
      </c>
      <c r="R1135" s="12">
        <v>16.315004621681624</v>
      </c>
      <c r="S1135" s="12">
        <v>14.723230217850892</v>
      </c>
      <c r="T1135" s="16">
        <v>0.77282443834135239</v>
      </c>
      <c r="U1135" s="12">
        <v>16.173246167590452</v>
      </c>
    </row>
    <row r="1136" spans="1:21" x14ac:dyDescent="0.25">
      <c r="A1136" s="4">
        <v>60449</v>
      </c>
      <c r="B1136" s="10"/>
      <c r="C1136" s="9">
        <v>7.9414819846466864</v>
      </c>
      <c r="D1136" s="5">
        <f t="shared" si="20"/>
        <v>7</v>
      </c>
      <c r="Q1136" s="4">
        <v>60449</v>
      </c>
      <c r="R1136" s="12">
        <v>1.6140799542220032</v>
      </c>
      <c r="S1136" s="12">
        <v>0.18270353832400987</v>
      </c>
      <c r="T1136" s="16">
        <v>3.1207717728406623E-2</v>
      </c>
      <c r="U1136" s="12">
        <v>0.11934185657326929</v>
      </c>
    </row>
    <row r="1137" spans="1:21" x14ac:dyDescent="0.25">
      <c r="A1137" s="4">
        <v>60480</v>
      </c>
      <c r="B1137" s="10"/>
      <c r="C1137" s="9">
        <v>67.741932115231123</v>
      </c>
      <c r="D1137" s="5">
        <f t="shared" si="20"/>
        <v>8</v>
      </c>
      <c r="Q1137" s="4">
        <v>60480</v>
      </c>
      <c r="R1137" s="12">
        <v>23.284629850887768</v>
      </c>
      <c r="S1137" s="12">
        <v>30.129221576548435</v>
      </c>
      <c r="T1137" s="16">
        <v>0.93910506311370345</v>
      </c>
      <c r="U1137" s="12">
        <v>28.512854117024958</v>
      </c>
    </row>
    <row r="1138" spans="1:21" x14ac:dyDescent="0.25">
      <c r="A1138" s="4">
        <v>60511</v>
      </c>
      <c r="B1138" s="10"/>
      <c r="C1138" s="9">
        <v>10.240197510603847</v>
      </c>
      <c r="D1138" s="5">
        <f t="shared" si="20"/>
        <v>9</v>
      </c>
      <c r="Q1138" s="4">
        <v>60511</v>
      </c>
      <c r="R1138" s="12">
        <v>4.1308107311309694</v>
      </c>
      <c r="S1138" s="12">
        <v>1.3747280326262512</v>
      </c>
      <c r="T1138" s="16">
        <v>0.27383710357551461</v>
      </c>
      <c r="U1138" s="12">
        <v>0.56207656087317914</v>
      </c>
    </row>
    <row r="1139" spans="1:21" x14ac:dyDescent="0.25">
      <c r="A1139" s="4">
        <v>60541</v>
      </c>
      <c r="B1139" s="10"/>
      <c r="C1139" s="9">
        <v>72.742950456368305</v>
      </c>
      <c r="D1139" s="5">
        <f t="shared" si="20"/>
        <v>10</v>
      </c>
      <c r="Q1139" s="4">
        <v>60541</v>
      </c>
      <c r="R1139" s="12">
        <v>90.317894749583928</v>
      </c>
      <c r="S1139" s="12">
        <v>94.361243364181306</v>
      </c>
      <c r="T1139" s="16">
        <v>0.96919688879278576</v>
      </c>
      <c r="U1139" s="12">
        <v>94.143367466942678</v>
      </c>
    </row>
    <row r="1140" spans="1:21" x14ac:dyDescent="0.25">
      <c r="A1140" s="4">
        <v>60572</v>
      </c>
      <c r="B1140" s="10"/>
      <c r="C1140" s="9">
        <v>4.3034710242002419</v>
      </c>
      <c r="D1140" s="5">
        <f t="shared" si="20"/>
        <v>11</v>
      </c>
      <c r="Q1140" s="4">
        <v>60572</v>
      </c>
      <c r="R1140" s="12">
        <v>4.4296896887346833</v>
      </c>
      <c r="S1140" s="12">
        <v>4.0325268500374003</v>
      </c>
      <c r="T1140" s="16">
        <v>0.17311023912645782</v>
      </c>
      <c r="U1140" s="12">
        <v>3.8973897657186445</v>
      </c>
    </row>
    <row r="1141" spans="1:21" x14ac:dyDescent="0.25">
      <c r="A1141" s="4">
        <v>60602</v>
      </c>
      <c r="B1141" s="10"/>
      <c r="C1141" s="9">
        <v>28.059791510563105</v>
      </c>
      <c r="D1141" s="5">
        <f t="shared" si="20"/>
        <v>12</v>
      </c>
      <c r="Q1141" s="4">
        <v>60602</v>
      </c>
      <c r="R1141" s="12">
        <v>51.134530261014284</v>
      </c>
      <c r="S1141" s="12">
        <v>48.729178216958438</v>
      </c>
      <c r="T1141" s="16">
        <v>0.84520710615531025</v>
      </c>
      <c r="U1141" s="12">
        <v>47.77696249396476</v>
      </c>
    </row>
    <row r="1142" spans="1:21" x14ac:dyDescent="0.25">
      <c r="A1142" s="4">
        <v>60633</v>
      </c>
      <c r="B1142" s="10"/>
      <c r="C1142" s="9">
        <v>6.425506461509312</v>
      </c>
      <c r="D1142" s="5">
        <f t="shared" si="20"/>
        <v>1</v>
      </c>
      <c r="Q1142" s="4">
        <v>60633</v>
      </c>
      <c r="R1142" s="12">
        <v>11.007539314903484</v>
      </c>
      <c r="S1142" s="12">
        <v>3.1134864359686509</v>
      </c>
      <c r="T1142" s="16">
        <v>0.31861743576091944</v>
      </c>
      <c r="U1142" s="12">
        <v>3.27253148503475</v>
      </c>
    </row>
    <row r="1143" spans="1:21" x14ac:dyDescent="0.25">
      <c r="A1143" s="4">
        <v>60664</v>
      </c>
      <c r="B1143" s="10"/>
      <c r="C1143" s="9">
        <v>4.8645909917215535</v>
      </c>
      <c r="D1143" s="5">
        <f t="shared" si="20"/>
        <v>2</v>
      </c>
      <c r="Q1143" s="4">
        <v>60664</v>
      </c>
      <c r="R1143" s="12">
        <v>6.9709982884713018</v>
      </c>
      <c r="S1143" s="12">
        <v>8.8773713258082996</v>
      </c>
      <c r="T1143" s="16">
        <v>0.21427700153077214</v>
      </c>
      <c r="U1143" s="12">
        <v>8.6477009344352602</v>
      </c>
    </row>
    <row r="1144" spans="1:21" x14ac:dyDescent="0.25">
      <c r="A1144" s="4">
        <v>60692</v>
      </c>
      <c r="B1144" s="10"/>
      <c r="C1144" s="9">
        <v>9.8731206806296434</v>
      </c>
      <c r="D1144" s="5">
        <f t="shared" si="20"/>
        <v>3</v>
      </c>
      <c r="Q1144" s="4">
        <v>60692</v>
      </c>
      <c r="R1144" s="12">
        <v>11.167519234380821</v>
      </c>
      <c r="S1144" s="12">
        <v>6.7553280090798831</v>
      </c>
      <c r="T1144" s="16">
        <v>0.26091836222861625</v>
      </c>
      <c r="U1144" s="12">
        <v>6.0375929544662483</v>
      </c>
    </row>
    <row r="1145" spans="1:21" x14ac:dyDescent="0.25">
      <c r="A1145" s="4">
        <v>60723</v>
      </c>
      <c r="B1145" s="10"/>
      <c r="C1145" s="9">
        <v>5.6038009971611187</v>
      </c>
      <c r="D1145" s="5">
        <f t="shared" si="20"/>
        <v>4</v>
      </c>
      <c r="Q1145" s="4">
        <v>60723</v>
      </c>
      <c r="R1145" s="12">
        <v>4.5036624366011733</v>
      </c>
      <c r="S1145" s="12">
        <v>1.4074950566715236</v>
      </c>
      <c r="T1145" s="16">
        <v>8.1269509564685746E-2</v>
      </c>
      <c r="U1145" s="12">
        <v>1.4396064378658182</v>
      </c>
    </row>
    <row r="1146" spans="1:21" x14ac:dyDescent="0.25">
      <c r="A1146" s="4">
        <v>60753</v>
      </c>
      <c r="B1146" s="10"/>
      <c r="C1146" s="9">
        <v>36.733227983388772</v>
      </c>
      <c r="D1146" s="5">
        <f t="shared" si="20"/>
        <v>5</v>
      </c>
      <c r="Q1146" s="4">
        <v>60753</v>
      </c>
      <c r="R1146" s="12">
        <v>16.267141459116424</v>
      </c>
      <c r="S1146" s="12">
        <v>13.892648712173452</v>
      </c>
      <c r="T1146" s="16">
        <v>0.62936400246522795</v>
      </c>
      <c r="U1146" s="12">
        <v>14.722878895478056</v>
      </c>
    </row>
    <row r="1147" spans="1:21" x14ac:dyDescent="0.25">
      <c r="A1147" s="4">
        <v>60784</v>
      </c>
      <c r="B1147" s="10"/>
      <c r="C1147" s="9">
        <v>17.895265327411646</v>
      </c>
      <c r="D1147" s="5">
        <f t="shared" si="20"/>
        <v>6</v>
      </c>
      <c r="Q1147" s="4">
        <v>60784</v>
      </c>
      <c r="R1147" s="12">
        <v>6.4452094132851077</v>
      </c>
      <c r="S1147" s="12">
        <v>2.8284581549678482</v>
      </c>
      <c r="T1147" s="16">
        <v>0.39083333524772301</v>
      </c>
      <c r="U1147" s="12">
        <v>2.6639832271374435</v>
      </c>
    </row>
    <row r="1148" spans="1:21" x14ac:dyDescent="0.25">
      <c r="A1148" s="4">
        <v>60814</v>
      </c>
      <c r="B1148" s="10"/>
      <c r="C1148" s="9">
        <v>125.73094135295527</v>
      </c>
      <c r="D1148" s="5">
        <f t="shared" si="20"/>
        <v>7</v>
      </c>
      <c r="Q1148" s="4">
        <v>60814</v>
      </c>
      <c r="R1148" s="12">
        <v>25.554398090383142</v>
      </c>
      <c r="S1148" s="12">
        <v>51.114964231575314</v>
      </c>
      <c r="T1148" s="16">
        <v>0.98089623112331392</v>
      </c>
      <c r="U1148" s="12">
        <v>41.602964200562823</v>
      </c>
    </row>
    <row r="1149" spans="1:21" x14ac:dyDescent="0.25">
      <c r="A1149" s="4">
        <v>60845</v>
      </c>
      <c r="B1149" s="10"/>
      <c r="C1149" s="9">
        <v>30.373398774112921</v>
      </c>
      <c r="D1149" s="5">
        <f t="shared" si="20"/>
        <v>8</v>
      </c>
      <c r="Q1149" s="4">
        <v>60845</v>
      </c>
      <c r="R1149" s="12">
        <v>10.440111843364637</v>
      </c>
      <c r="S1149" s="12">
        <v>8.5727785611644105</v>
      </c>
      <c r="T1149" s="16">
        <v>0.67600102404275808</v>
      </c>
      <c r="U1149" s="12">
        <v>9.687461402608438</v>
      </c>
    </row>
    <row r="1150" spans="1:21" x14ac:dyDescent="0.25">
      <c r="A1150" s="4">
        <v>60876</v>
      </c>
      <c r="B1150" s="10"/>
      <c r="C1150" s="9">
        <v>9.0199538809409461</v>
      </c>
      <c r="D1150" s="5">
        <f t="shared" si="20"/>
        <v>9</v>
      </c>
      <c r="Q1150" s="4">
        <v>60876</v>
      </c>
      <c r="R1150" s="12">
        <v>3.6385745731090053</v>
      </c>
      <c r="S1150" s="12">
        <v>1.1216730211074708</v>
      </c>
      <c r="T1150" s="16">
        <v>0.24719951624804923</v>
      </c>
      <c r="U1150" s="12">
        <v>0.40856854167126916</v>
      </c>
    </row>
    <row r="1151" spans="1:21" x14ac:dyDescent="0.25">
      <c r="A1151" s="4">
        <v>60906</v>
      </c>
      <c r="B1151" s="10"/>
      <c r="C1151" s="9">
        <v>16.522399694326857</v>
      </c>
      <c r="D1151" s="5">
        <f t="shared" si="20"/>
        <v>10</v>
      </c>
      <c r="Q1151" s="4">
        <v>60906</v>
      </c>
      <c r="R1151" s="12">
        <v>20.514267667735623</v>
      </c>
      <c r="S1151" s="12">
        <v>19.767719032797689</v>
      </c>
      <c r="T1151" s="16">
        <v>0.49159314937956911</v>
      </c>
      <c r="U1151" s="12">
        <v>19.786191569973134</v>
      </c>
    </row>
    <row r="1152" spans="1:21" x14ac:dyDescent="0.25">
      <c r="A1152" s="4">
        <v>60937</v>
      </c>
      <c r="B1152" s="10"/>
      <c r="C1152" s="9">
        <v>85.911889498132965</v>
      </c>
      <c r="D1152" s="5">
        <f t="shared" si="20"/>
        <v>11</v>
      </c>
      <c r="Q1152" s="4">
        <v>60937</v>
      </c>
      <c r="R1152" s="12">
        <v>88.431642483364229</v>
      </c>
      <c r="S1152" s="12">
        <v>89.845367478319915</v>
      </c>
      <c r="T1152" s="16">
        <v>0.90968103616832785</v>
      </c>
      <c r="U1152" s="12">
        <v>90.060032282386501</v>
      </c>
    </row>
    <row r="1153" spans="1:21" x14ac:dyDescent="0.25">
      <c r="A1153" s="4">
        <v>60967</v>
      </c>
      <c r="B1153" s="10"/>
      <c r="C1153" s="9">
        <v>5.846414875527616</v>
      </c>
      <c r="D1153" s="5">
        <f t="shared" si="20"/>
        <v>12</v>
      </c>
      <c r="Q1153" s="4">
        <v>60967</v>
      </c>
      <c r="R1153" s="12">
        <v>10.654166060306252</v>
      </c>
      <c r="S1153" s="12">
        <v>13.115907582357346</v>
      </c>
      <c r="T1153" s="16">
        <v>0.40050706759369509</v>
      </c>
      <c r="U1153" s="12">
        <v>14.54221075688792</v>
      </c>
    </row>
    <row r="1154" spans="1:21" x14ac:dyDescent="0.25">
      <c r="A1154" s="4">
        <v>60998</v>
      </c>
      <c r="B1154" s="10"/>
      <c r="C1154" s="9">
        <v>0.58150148911207145</v>
      </c>
      <c r="D1154" s="5">
        <f t="shared" si="20"/>
        <v>1</v>
      </c>
      <c r="Q1154" s="4">
        <v>60998</v>
      </c>
      <c r="R1154" s="12">
        <v>0.99617058070353481</v>
      </c>
      <c r="S1154" s="12">
        <v>3.7932807776586489E-2</v>
      </c>
      <c r="T1154" s="16">
        <v>2.9179800204433743E-2</v>
      </c>
      <c r="U1154" s="12">
        <v>1.0487080091904979E-2</v>
      </c>
    </row>
    <row r="1155" spans="1:21" x14ac:dyDescent="0.25">
      <c r="A1155" s="4">
        <v>61029</v>
      </c>
      <c r="B1155" s="10"/>
      <c r="C1155" s="9">
        <v>5.4019256609185735</v>
      </c>
      <c r="D1155" s="5">
        <f t="shared" ref="D1155:D1218" si="21">MONTH(A1155)</f>
        <v>2</v>
      </c>
      <c r="Q1155" s="4">
        <v>61029</v>
      </c>
      <c r="R1155" s="12">
        <v>7.74100322119497</v>
      </c>
      <c r="S1155" s="12">
        <v>9.7247512395016766</v>
      </c>
      <c r="T1155" s="16">
        <v>0.23483897085083386</v>
      </c>
      <c r="U1155" s="12">
        <v>9.4575720029252839</v>
      </c>
    </row>
    <row r="1156" spans="1:21" x14ac:dyDescent="0.25">
      <c r="A1156" s="4">
        <v>61057</v>
      </c>
      <c r="B1156" s="10"/>
      <c r="C1156" s="9">
        <v>3.188395975418457</v>
      </c>
      <c r="D1156" s="5">
        <f t="shared" si="21"/>
        <v>3</v>
      </c>
      <c r="Q1156" s="4">
        <v>61057</v>
      </c>
      <c r="R1156" s="12">
        <v>3.6064051614567392</v>
      </c>
      <c r="S1156" s="12">
        <v>1.3149366063278016</v>
      </c>
      <c r="T1156" s="16">
        <v>5.0166904369311843E-2</v>
      </c>
      <c r="U1156" s="12">
        <v>0.76202844826471261</v>
      </c>
    </row>
    <row r="1157" spans="1:21" x14ac:dyDescent="0.25">
      <c r="A1157" s="4">
        <v>61088</v>
      </c>
      <c r="B1157" s="10"/>
      <c r="C1157" s="9">
        <v>10.952146566389903</v>
      </c>
      <c r="D1157" s="5">
        <f t="shared" si="21"/>
        <v>4</v>
      </c>
      <c r="Q1157" s="4">
        <v>61088</v>
      </c>
      <c r="R1157" s="12">
        <v>8.8020204707819953</v>
      </c>
      <c r="S1157" s="12">
        <v>4.1485825163271945</v>
      </c>
      <c r="T1157" s="16">
        <v>0.22296586062791124</v>
      </c>
      <c r="U1157" s="12">
        <v>4.6867954878147948</v>
      </c>
    </row>
    <row r="1158" spans="1:21" x14ac:dyDescent="0.25">
      <c r="A1158" s="4">
        <v>61118</v>
      </c>
      <c r="B1158" s="10"/>
      <c r="C1158" s="9">
        <v>5.2337075632632857</v>
      </c>
      <c r="D1158" s="5">
        <f t="shared" si="21"/>
        <v>5</v>
      </c>
      <c r="Q1158" s="4">
        <v>61118</v>
      </c>
      <c r="R1158" s="12">
        <v>2.3177233791092799</v>
      </c>
      <c r="S1158" s="12">
        <v>0.58779976974770387</v>
      </c>
      <c r="T1158" s="16">
        <v>3.1565241588025622E-2</v>
      </c>
      <c r="U1158" s="12">
        <v>0.33504850313365026</v>
      </c>
    </row>
    <row r="1159" spans="1:21" x14ac:dyDescent="0.25">
      <c r="A1159" s="4">
        <v>61149</v>
      </c>
      <c r="B1159" s="10"/>
      <c r="C1159" s="9">
        <v>51.833979744052158</v>
      </c>
      <c r="D1159" s="5">
        <f t="shared" si="21"/>
        <v>6</v>
      </c>
      <c r="Q1159" s="4">
        <v>61149</v>
      </c>
      <c r="R1159" s="12">
        <v>18.6686728619025</v>
      </c>
      <c r="S1159" s="12">
        <v>18.705129654198672</v>
      </c>
      <c r="T1159" s="16">
        <v>0.82265760346963457</v>
      </c>
      <c r="U1159" s="12">
        <v>20.349753366633486</v>
      </c>
    </row>
    <row r="1160" spans="1:21" x14ac:dyDescent="0.25">
      <c r="A1160" s="4">
        <v>61179</v>
      </c>
      <c r="B1160" s="10"/>
      <c r="C1160" s="9">
        <v>45.541891867287916</v>
      </c>
      <c r="D1160" s="5">
        <f t="shared" si="21"/>
        <v>7</v>
      </c>
      <c r="Q1160" s="4">
        <v>61179</v>
      </c>
      <c r="R1160" s="12">
        <v>9.2562389340490157</v>
      </c>
      <c r="S1160" s="12">
        <v>6.4408154247027936</v>
      </c>
      <c r="T1160" s="16">
        <v>0.58351975468698503</v>
      </c>
      <c r="U1160" s="12">
        <v>7.5174222168430838</v>
      </c>
    </row>
    <row r="1161" spans="1:21" x14ac:dyDescent="0.25">
      <c r="A1161" s="4">
        <v>61210</v>
      </c>
      <c r="B1161" s="10"/>
      <c r="C1161" s="9">
        <v>5.8008619350236277</v>
      </c>
      <c r="D1161" s="5">
        <f t="shared" si="21"/>
        <v>8</v>
      </c>
      <c r="Q1161" s="4">
        <v>61210</v>
      </c>
      <c r="R1161" s="12">
        <v>1.9939042001838672</v>
      </c>
      <c r="S1161" s="12">
        <v>0.64045601400485952</v>
      </c>
      <c r="T1161" s="16">
        <v>0.14266602340914958</v>
      </c>
      <c r="U1161" s="12">
        <v>0.72873284332677057</v>
      </c>
    </row>
    <row r="1162" spans="1:21" x14ac:dyDescent="0.25">
      <c r="A1162" s="4">
        <v>61241</v>
      </c>
      <c r="B1162" s="10"/>
      <c r="C1162" s="9">
        <v>8.253179720116643</v>
      </c>
      <c r="D1162" s="5">
        <f t="shared" si="21"/>
        <v>9</v>
      </c>
      <c r="Q1162" s="4">
        <v>61241</v>
      </c>
      <c r="R1162" s="12">
        <v>3.329264237189498</v>
      </c>
      <c r="S1162" s="12">
        <v>0.9727574258385191</v>
      </c>
      <c r="T1162" s="16">
        <v>0.22986944638371112</v>
      </c>
      <c r="U1162" s="12">
        <v>0.32589260258000385</v>
      </c>
    </row>
    <row r="1163" spans="1:21" x14ac:dyDescent="0.25">
      <c r="A1163" s="4">
        <v>61271</v>
      </c>
      <c r="B1163" s="10"/>
      <c r="C1163" s="9">
        <v>6.4425106264331484</v>
      </c>
      <c r="D1163" s="5">
        <f t="shared" si="21"/>
        <v>10</v>
      </c>
      <c r="Q1163" s="4">
        <v>61271</v>
      </c>
      <c r="R1163" s="12">
        <v>7.9990431104423916</v>
      </c>
      <c r="S1163" s="12">
        <v>7.3218999122867841</v>
      </c>
      <c r="T1163" s="16">
        <v>0.20410377498518509</v>
      </c>
      <c r="U1163" s="12">
        <v>7.1875016732393995</v>
      </c>
    </row>
    <row r="1164" spans="1:21" x14ac:dyDescent="0.25">
      <c r="A1164" s="4">
        <v>61302</v>
      </c>
      <c r="B1164" s="10"/>
      <c r="C1164" s="9">
        <v>38.923869650692026</v>
      </c>
      <c r="D1164" s="5">
        <f t="shared" si="21"/>
        <v>11</v>
      </c>
      <c r="Q1164" s="4">
        <v>61302</v>
      </c>
      <c r="R1164" s="12">
        <v>40.065487386281646</v>
      </c>
      <c r="S1164" s="12">
        <v>39.541099545420714</v>
      </c>
      <c r="T1164" s="16">
        <v>0.69726212554151701</v>
      </c>
      <c r="U1164" s="12">
        <v>39.661941761998982</v>
      </c>
    </row>
    <row r="1165" spans="1:21" x14ac:dyDescent="0.25">
      <c r="A1165" s="4">
        <v>61332</v>
      </c>
      <c r="B1165" s="10"/>
      <c r="C1165" s="9">
        <v>17.629825901505473</v>
      </c>
      <c r="D1165" s="5">
        <f t="shared" si="21"/>
        <v>12</v>
      </c>
      <c r="Q1165" s="4">
        <v>61332</v>
      </c>
      <c r="R1165" s="12">
        <v>32.127568222222109</v>
      </c>
      <c r="S1165" s="12">
        <v>33.02951334184494</v>
      </c>
      <c r="T1165" s="16">
        <v>0.7157929807695933</v>
      </c>
      <c r="U1165" s="12">
        <v>33.123427606380609</v>
      </c>
    </row>
    <row r="1166" spans="1:21" x14ac:dyDescent="0.25">
      <c r="A1166" s="4">
        <v>61363</v>
      </c>
      <c r="B1166" s="10"/>
      <c r="C1166" s="9">
        <v>1.8104783347967512</v>
      </c>
      <c r="D1166" s="5">
        <f t="shared" si="21"/>
        <v>1</v>
      </c>
      <c r="Q1166" s="4">
        <v>61363</v>
      </c>
      <c r="R1166" s="12">
        <v>3.1015316175365033</v>
      </c>
      <c r="S1166" s="12">
        <v>0.30476161962498005</v>
      </c>
      <c r="T1166" s="16">
        <v>9.508173360110643E-2</v>
      </c>
      <c r="U1166" s="12">
        <v>0.17634968822322811</v>
      </c>
    </row>
    <row r="1167" spans="1:21" x14ac:dyDescent="0.25">
      <c r="A1167" s="4">
        <v>61394</v>
      </c>
      <c r="B1167" s="10"/>
      <c r="C1167" s="9">
        <v>20.170412198934681</v>
      </c>
      <c r="D1167" s="5">
        <f t="shared" si="21"/>
        <v>2</v>
      </c>
      <c r="Q1167" s="4">
        <v>61394</v>
      </c>
      <c r="R1167" s="12">
        <v>28.904364037144653</v>
      </c>
      <c r="S1167" s="12">
        <v>30.602212452640313</v>
      </c>
      <c r="T1167" s="16">
        <v>0.63012674145182124</v>
      </c>
      <c r="U1167" s="12">
        <v>29.820856667259076</v>
      </c>
    </row>
    <row r="1168" spans="1:21" x14ac:dyDescent="0.25">
      <c r="A1168" s="4">
        <v>61423</v>
      </c>
      <c r="B1168" s="10"/>
      <c r="C1168" s="9">
        <v>9.5668915002079782</v>
      </c>
      <c r="D1168" s="5">
        <f t="shared" si="21"/>
        <v>3</v>
      </c>
      <c r="Q1168" s="4">
        <v>61423</v>
      </c>
      <c r="R1168" s="12">
        <v>10.821142402464135</v>
      </c>
      <c r="S1168" s="12">
        <v>6.4540770852170057</v>
      </c>
      <c r="T1168" s="16">
        <v>0.25056554868316372</v>
      </c>
      <c r="U1168" s="12">
        <v>5.7190806001019538</v>
      </c>
    </row>
    <row r="1169" spans="1:21" x14ac:dyDescent="0.25">
      <c r="A1169" s="4">
        <v>61454</v>
      </c>
      <c r="B1169" s="10"/>
      <c r="C1169" s="9">
        <v>40.210181007279701</v>
      </c>
      <c r="D1169" s="5">
        <f t="shared" si="21"/>
        <v>4</v>
      </c>
      <c r="Q1169" s="4">
        <v>61454</v>
      </c>
      <c r="R1169" s="12">
        <v>32.316115769129048</v>
      </c>
      <c r="S1169" s="12">
        <v>33.811563300656317</v>
      </c>
      <c r="T1169" s="16">
        <v>0.81381197575255415</v>
      </c>
      <c r="U1169" s="12">
        <v>35.149872453004903</v>
      </c>
    </row>
    <row r="1170" spans="1:21" x14ac:dyDescent="0.25">
      <c r="A1170" s="4">
        <v>61484</v>
      </c>
      <c r="B1170" s="10"/>
      <c r="C1170" s="9">
        <v>45.223625542931913</v>
      </c>
      <c r="D1170" s="5">
        <f t="shared" si="21"/>
        <v>5</v>
      </c>
      <c r="Q1170" s="4">
        <v>61484</v>
      </c>
      <c r="R1170" s="12">
        <v>20.027075059498134</v>
      </c>
      <c r="S1170" s="12">
        <v>19.4698236825271</v>
      </c>
      <c r="T1170" s="16">
        <v>0.74206863288009517</v>
      </c>
      <c r="U1170" s="12">
        <v>20.535744772318189</v>
      </c>
    </row>
    <row r="1171" spans="1:21" x14ac:dyDescent="0.25">
      <c r="A1171" s="4">
        <v>61515</v>
      </c>
      <c r="B1171" s="10"/>
      <c r="C1171" s="9">
        <v>280.01797125433086</v>
      </c>
      <c r="D1171" s="5">
        <f t="shared" si="21"/>
        <v>6</v>
      </c>
      <c r="Q1171" s="4">
        <v>61515</v>
      </c>
      <c r="R1171" s="12">
        <v>100.85206512433716</v>
      </c>
      <c r="S1171" s="12">
        <v>374.27887943097051</v>
      </c>
      <c r="T1171" s="16">
        <v>0.99998332589870542</v>
      </c>
      <c r="U1171" s="12">
        <v>218.42003943278488</v>
      </c>
    </row>
    <row r="1172" spans="1:21" x14ac:dyDescent="0.25">
      <c r="A1172" s="4">
        <v>61545</v>
      </c>
      <c r="B1172" s="10"/>
      <c r="C1172" s="9">
        <v>30.131345642716269</v>
      </c>
      <c r="D1172" s="5">
        <f t="shared" si="21"/>
        <v>7</v>
      </c>
      <c r="Q1172" s="4">
        <v>61545</v>
      </c>
      <c r="R1172" s="12">
        <v>6.1240963701319231</v>
      </c>
      <c r="S1172" s="12">
        <v>2.7734428142262741</v>
      </c>
      <c r="T1172" s="16">
        <v>0.35243139747325725</v>
      </c>
      <c r="U1172" s="12">
        <v>3.2478760746576496</v>
      </c>
    </row>
    <row r="1173" spans="1:21" x14ac:dyDescent="0.25">
      <c r="A1173" s="4">
        <v>61576</v>
      </c>
      <c r="B1173" s="10"/>
      <c r="C1173" s="9">
        <v>7.8036237671792963E-2</v>
      </c>
      <c r="D1173" s="5">
        <f t="shared" si="21"/>
        <v>8</v>
      </c>
      <c r="Q1173" s="4">
        <v>61576</v>
      </c>
      <c r="R1173" s="12">
        <v>2.6823045230725828E-2</v>
      </c>
      <c r="S1173" s="12">
        <v>7.4891805337410711E-4</v>
      </c>
      <c r="T1173" s="16">
        <v>6.0047635752204611E-4</v>
      </c>
      <c r="U1173" s="12">
        <v>2.9271541060184086E-4</v>
      </c>
    </row>
    <row r="1174" spans="1:21" x14ac:dyDescent="0.25">
      <c r="A1174" s="4">
        <v>61607</v>
      </c>
      <c r="B1174" s="10"/>
      <c r="C1174" s="9">
        <v>4.6264545869517892</v>
      </c>
      <c r="D1174" s="5">
        <f t="shared" si="21"/>
        <v>9</v>
      </c>
      <c r="Q1174" s="4">
        <v>61607</v>
      </c>
      <c r="R1174" s="12">
        <v>1.8662734029378698</v>
      </c>
      <c r="S1174" s="12">
        <v>0.38456343117536412</v>
      </c>
      <c r="T1174" s="16">
        <v>0.14083231846911476</v>
      </c>
      <c r="U1174" s="12">
        <v>7.1367666592342796E-2</v>
      </c>
    </row>
    <row r="1175" spans="1:21" x14ac:dyDescent="0.25">
      <c r="A1175" s="4">
        <v>61637</v>
      </c>
      <c r="B1175" s="10"/>
      <c r="C1175" s="9">
        <v>30.003180263424497</v>
      </c>
      <c r="D1175" s="5">
        <f t="shared" si="21"/>
        <v>10</v>
      </c>
      <c r="Q1175" s="4">
        <v>61637</v>
      </c>
      <c r="R1175" s="12">
        <v>37.252050682356327</v>
      </c>
      <c r="S1175" s="12">
        <v>37.083961856400684</v>
      </c>
      <c r="T1175" s="16">
        <v>0.73344505913449776</v>
      </c>
      <c r="U1175" s="12">
        <v>37.262700701852204</v>
      </c>
    </row>
    <row r="1176" spans="1:21" x14ac:dyDescent="0.25">
      <c r="A1176" s="4">
        <v>61668</v>
      </c>
      <c r="B1176" s="10"/>
      <c r="C1176" s="9">
        <v>42.168979154733528</v>
      </c>
      <c r="D1176" s="5">
        <f t="shared" si="21"/>
        <v>11</v>
      </c>
      <c r="Q1176" s="4">
        <v>61668</v>
      </c>
      <c r="R1176" s="12">
        <v>43.405774337914828</v>
      </c>
      <c r="S1176" s="12">
        <v>42.963654362466833</v>
      </c>
      <c r="T1176" s="16">
        <v>0.72226763658049953</v>
      </c>
      <c r="U1176" s="12">
        <v>43.108385356958642</v>
      </c>
    </row>
    <row r="1177" spans="1:21" x14ac:dyDescent="0.25">
      <c r="A1177" s="4">
        <v>61698</v>
      </c>
      <c r="B1177" s="10"/>
      <c r="C1177" s="9">
        <v>86.815298796179533</v>
      </c>
      <c r="D1177" s="5">
        <f t="shared" si="21"/>
        <v>12</v>
      </c>
      <c r="Q1177" s="4">
        <v>61698</v>
      </c>
      <c r="R1177" s="12">
        <v>158.20714568535124</v>
      </c>
      <c r="S1177" s="12">
        <v>125.3792201797539</v>
      </c>
      <c r="T1177" s="16">
        <v>0.99368848543707478</v>
      </c>
      <c r="U1177" s="12">
        <v>122.86616698427218</v>
      </c>
    </row>
    <row r="1178" spans="1:21" x14ac:dyDescent="0.25">
      <c r="A1178" s="4">
        <v>61729</v>
      </c>
      <c r="B1178" s="10"/>
      <c r="C1178" s="9">
        <v>11.214687457389537</v>
      </c>
      <c r="D1178" s="5">
        <f t="shared" si="21"/>
        <v>1</v>
      </c>
      <c r="Q1178" s="4">
        <v>61729</v>
      </c>
      <c r="R1178" s="12">
        <v>19.211888406158973</v>
      </c>
      <c r="S1178" s="12">
        <v>8.6500887503032278</v>
      </c>
      <c r="T1178" s="16">
        <v>0.4981121162535781</v>
      </c>
      <c r="U1178" s="12">
        <v>10.238269566902144</v>
      </c>
    </row>
    <row r="1179" spans="1:21" x14ac:dyDescent="0.25">
      <c r="A1179" s="4">
        <v>61760</v>
      </c>
      <c r="B1179" s="10"/>
      <c r="C1179" s="9">
        <v>6.5008261963074272</v>
      </c>
      <c r="D1179" s="5">
        <f t="shared" si="21"/>
        <v>2</v>
      </c>
      <c r="Q1179" s="4">
        <v>61760</v>
      </c>
      <c r="R1179" s="12">
        <v>9.3157365881794174</v>
      </c>
      <c r="S1179" s="12">
        <v>11.425006991481947</v>
      </c>
      <c r="T1179" s="16">
        <v>0.27520965616974935</v>
      </c>
      <c r="U1179" s="12">
        <v>11.085206626667745</v>
      </c>
    </row>
    <row r="1180" spans="1:21" x14ac:dyDescent="0.25">
      <c r="A1180" s="4">
        <v>61788</v>
      </c>
      <c r="B1180" s="10"/>
      <c r="C1180" s="9">
        <v>34.903040569103418</v>
      </c>
      <c r="D1180" s="5">
        <f t="shared" si="21"/>
        <v>3</v>
      </c>
      <c r="Q1180" s="4">
        <v>61788</v>
      </c>
      <c r="R1180" s="12">
        <v>39.478943841794397</v>
      </c>
      <c r="S1180" s="12">
        <v>42.0416816511203</v>
      </c>
      <c r="T1180" s="16">
        <v>0.82828938608290315</v>
      </c>
      <c r="U1180" s="12">
        <v>43.585944525130763</v>
      </c>
    </row>
    <row r="1181" spans="1:21" x14ac:dyDescent="0.25">
      <c r="A1181" s="4">
        <v>61819</v>
      </c>
      <c r="B1181" s="10"/>
      <c r="C1181" s="9">
        <v>49.466246319153413</v>
      </c>
      <c r="D1181" s="5">
        <f t="shared" si="21"/>
        <v>4</v>
      </c>
      <c r="Q1181" s="4">
        <v>61819</v>
      </c>
      <c r="R1181" s="12">
        <v>39.755029762850619</v>
      </c>
      <c r="S1181" s="12">
        <v>47.228584612658452</v>
      </c>
      <c r="T1181" s="16">
        <v>0.8905050297528978</v>
      </c>
      <c r="U1181" s="12">
        <v>46.811345564920146</v>
      </c>
    </row>
    <row r="1182" spans="1:21" x14ac:dyDescent="0.25">
      <c r="A1182" s="4">
        <v>61849</v>
      </c>
      <c r="B1182" s="10"/>
      <c r="C1182" s="9">
        <v>61.378335367728887</v>
      </c>
      <c r="D1182" s="5">
        <f t="shared" si="21"/>
        <v>5</v>
      </c>
      <c r="Q1182" s="4">
        <v>61849</v>
      </c>
      <c r="R1182" s="12">
        <v>27.181114178243366</v>
      </c>
      <c r="S1182" s="12">
        <v>31.964434440427556</v>
      </c>
      <c r="T1182" s="16">
        <v>0.87766788217216829</v>
      </c>
      <c r="U1182" s="12">
        <v>32.690530892184896</v>
      </c>
    </row>
    <row r="1183" spans="1:21" x14ac:dyDescent="0.25">
      <c r="A1183" s="4">
        <v>61880</v>
      </c>
      <c r="B1183" s="10"/>
      <c r="C1183" s="9">
        <v>16.983749183823175</v>
      </c>
      <c r="D1183" s="5">
        <f t="shared" si="21"/>
        <v>6</v>
      </c>
      <c r="Q1183" s="4">
        <v>61880</v>
      </c>
      <c r="R1183" s="12">
        <v>6.1169151789426488</v>
      </c>
      <c r="S1183" s="12">
        <v>2.577630197664484</v>
      </c>
      <c r="T1183" s="16">
        <v>0.37205746214239332</v>
      </c>
      <c r="U1183" s="12">
        <v>2.3788537355259431</v>
      </c>
    </row>
    <row r="1184" spans="1:21" x14ac:dyDescent="0.25">
      <c r="A1184" s="4">
        <v>61910</v>
      </c>
      <c r="B1184" s="10"/>
      <c r="C1184" s="9">
        <v>23.410288358708332</v>
      </c>
      <c r="D1184" s="5">
        <f t="shared" si="21"/>
        <v>7</v>
      </c>
      <c r="Q1184" s="4">
        <v>61910</v>
      </c>
      <c r="R1184" s="12">
        <v>4.7580637008810047</v>
      </c>
      <c r="S1184" s="12">
        <v>1.6574297673872569</v>
      </c>
      <c r="T1184" s="16">
        <v>0.24087565880179776</v>
      </c>
      <c r="U1184" s="12">
        <v>1.8580241167583671</v>
      </c>
    </row>
    <row r="1185" spans="1:21" x14ac:dyDescent="0.25">
      <c r="A1185" s="4">
        <v>61941</v>
      </c>
      <c r="B1185" s="10"/>
      <c r="C1185" s="9">
        <v>1.0624378240195727</v>
      </c>
      <c r="D1185" s="5">
        <f t="shared" si="21"/>
        <v>8</v>
      </c>
      <c r="Q1185" s="4">
        <v>61941</v>
      </c>
      <c r="R1185" s="12">
        <v>0.36518697798281691</v>
      </c>
      <c r="S1185" s="12">
        <v>4.4808174931492688E-2</v>
      </c>
      <c r="T1185" s="16">
        <v>1.7693109649584093E-2</v>
      </c>
      <c r="U1185" s="12">
        <v>3.619183510847504E-2</v>
      </c>
    </row>
    <row r="1186" spans="1:21" x14ac:dyDescent="0.25">
      <c r="A1186" s="4">
        <v>61972</v>
      </c>
      <c r="B1186" s="10"/>
      <c r="C1186" s="9">
        <v>35.921919963524779</v>
      </c>
      <c r="D1186" s="5">
        <f t="shared" si="21"/>
        <v>9</v>
      </c>
      <c r="Q1186" s="4">
        <v>61972</v>
      </c>
      <c r="R1186" s="12">
        <v>14.490604533213327</v>
      </c>
      <c r="S1186" s="12">
        <v>10.282994343550353</v>
      </c>
      <c r="T1186" s="16">
        <v>0.65092331004283943</v>
      </c>
      <c r="U1186" s="12">
        <v>9.4962558363782534</v>
      </c>
    </row>
    <row r="1187" spans="1:21" x14ac:dyDescent="0.25">
      <c r="A1187" s="4">
        <v>62002</v>
      </c>
      <c r="B1187" s="10"/>
      <c r="C1187" s="9">
        <v>12.343764372687223</v>
      </c>
      <c r="D1187" s="5">
        <f t="shared" si="21"/>
        <v>10</v>
      </c>
      <c r="Q1187" s="4">
        <v>62002</v>
      </c>
      <c r="R1187" s="12">
        <v>15.326059837162234</v>
      </c>
      <c r="S1187" s="12">
        <v>14.535258238110002</v>
      </c>
      <c r="T1187" s="16">
        <v>0.3842926990505679</v>
      </c>
      <c r="U1187" s="12">
        <v>14.485362284726877</v>
      </c>
    </row>
    <row r="1188" spans="1:21" x14ac:dyDescent="0.25">
      <c r="A1188" s="4">
        <v>62033</v>
      </c>
      <c r="B1188" s="10"/>
      <c r="C1188" s="9">
        <v>6.156287191293111</v>
      </c>
      <c r="D1188" s="5">
        <f t="shared" si="21"/>
        <v>11</v>
      </c>
      <c r="Q1188" s="4">
        <v>62033</v>
      </c>
      <c r="R1188" s="12">
        <v>6.3368480323922807</v>
      </c>
      <c r="S1188" s="12">
        <v>5.8449388452220816</v>
      </c>
      <c r="T1188" s="16">
        <v>0.22443657386679505</v>
      </c>
      <c r="U1188" s="12">
        <v>5.7008213485857295</v>
      </c>
    </row>
    <row r="1189" spans="1:21" x14ac:dyDescent="0.25">
      <c r="A1189" s="4">
        <v>62063</v>
      </c>
      <c r="B1189" s="10"/>
      <c r="C1189" s="9">
        <v>1.8908756882410727</v>
      </c>
      <c r="D1189" s="5">
        <f t="shared" si="21"/>
        <v>12</v>
      </c>
      <c r="Q1189" s="4">
        <v>62063</v>
      </c>
      <c r="R1189" s="12">
        <v>3.4458217575772352</v>
      </c>
      <c r="S1189" s="12">
        <v>5.1003559803282092</v>
      </c>
      <c r="T1189" s="16">
        <v>0.19153053105425438</v>
      </c>
      <c r="U1189" s="12">
        <v>6.6111505167972586</v>
      </c>
    </row>
    <row r="1190" spans="1:21" x14ac:dyDescent="0.25">
      <c r="A1190" s="4">
        <v>62094</v>
      </c>
      <c r="B1190" s="10"/>
      <c r="C1190" s="9">
        <v>14.777747878003311</v>
      </c>
      <c r="D1190" s="5">
        <f t="shared" si="21"/>
        <v>1</v>
      </c>
      <c r="Q1190" s="4">
        <v>62094</v>
      </c>
      <c r="R1190" s="12">
        <v>25.315769539300032</v>
      </c>
      <c r="S1190" s="12">
        <v>14.350091146149685</v>
      </c>
      <c r="T1190" s="16">
        <v>0.60157829671356167</v>
      </c>
      <c r="U1190" s="12">
        <v>17.266392403694823</v>
      </c>
    </row>
    <row r="1191" spans="1:21" x14ac:dyDescent="0.25">
      <c r="A1191" s="4">
        <v>62125</v>
      </c>
      <c r="B1191" s="10"/>
      <c r="C1191" s="9">
        <v>11.799206400583337</v>
      </c>
      <c r="D1191" s="5">
        <f t="shared" si="21"/>
        <v>2</v>
      </c>
      <c r="Q1191" s="4">
        <v>62125</v>
      </c>
      <c r="R1191" s="12">
        <v>16.908358331411829</v>
      </c>
      <c r="S1191" s="12">
        <v>19.192271461488449</v>
      </c>
      <c r="T1191" s="16">
        <v>0.4417053194246906</v>
      </c>
      <c r="U1191" s="12">
        <v>18.584286858395302</v>
      </c>
    </row>
    <row r="1192" spans="1:21" x14ac:dyDescent="0.25">
      <c r="A1192" s="4">
        <v>62153</v>
      </c>
      <c r="B1192" s="10"/>
      <c r="C1192" s="9">
        <v>18.500030706268547</v>
      </c>
      <c r="D1192" s="5">
        <f t="shared" si="21"/>
        <v>3</v>
      </c>
      <c r="Q1192" s="4">
        <v>62153</v>
      </c>
      <c r="R1192" s="12">
        <v>20.92544550318555</v>
      </c>
      <c r="S1192" s="12">
        <v>16.769152547528545</v>
      </c>
      <c r="T1192" s="16">
        <v>0.52723707901651495</v>
      </c>
      <c r="U1192" s="12">
        <v>16.928657464856464</v>
      </c>
    </row>
    <row r="1193" spans="1:21" x14ac:dyDescent="0.25">
      <c r="A1193" s="4">
        <v>62184</v>
      </c>
      <c r="B1193" s="10"/>
      <c r="C1193" s="9">
        <v>64.389080245426086</v>
      </c>
      <c r="D1193" s="5">
        <f t="shared" si="21"/>
        <v>4</v>
      </c>
      <c r="Q1193" s="4">
        <v>62184</v>
      </c>
      <c r="R1193" s="12">
        <v>51.748212003875786</v>
      </c>
      <c r="S1193" s="12">
        <v>72.262949546716214</v>
      </c>
      <c r="T1193" s="16">
        <v>0.95519662179237341</v>
      </c>
      <c r="U1193" s="12">
        <v>66.589210980934041</v>
      </c>
    </row>
    <row r="1194" spans="1:21" x14ac:dyDescent="0.25">
      <c r="A1194" s="4">
        <v>62214</v>
      </c>
      <c r="B1194" s="10"/>
      <c r="C1194" s="9">
        <v>12.503669137111325</v>
      </c>
      <c r="D1194" s="5">
        <f t="shared" si="21"/>
        <v>5</v>
      </c>
      <c r="Q1194" s="4">
        <v>62214</v>
      </c>
      <c r="R1194" s="12">
        <v>5.5371925032931406</v>
      </c>
      <c r="S1194" s="12">
        <v>2.416210794104479</v>
      </c>
      <c r="T1194" s="16">
        <v>0.15275855847302805</v>
      </c>
      <c r="U1194" s="12">
        <v>2.0902212631604429</v>
      </c>
    </row>
    <row r="1195" spans="1:21" x14ac:dyDescent="0.25">
      <c r="A1195" s="4">
        <v>62245</v>
      </c>
      <c r="B1195" s="10"/>
      <c r="C1195" s="9">
        <v>47.346263920771875</v>
      </c>
      <c r="D1195" s="5">
        <f t="shared" si="21"/>
        <v>6</v>
      </c>
      <c r="Q1195" s="4">
        <v>62245</v>
      </c>
      <c r="R1195" s="12">
        <v>17.052364428405909</v>
      </c>
      <c r="S1195" s="12">
        <v>15.925849834804993</v>
      </c>
      <c r="T1195" s="16">
        <v>0.78971138682506603</v>
      </c>
      <c r="U1195" s="12">
        <v>17.453589609336074</v>
      </c>
    </row>
    <row r="1196" spans="1:21" x14ac:dyDescent="0.25">
      <c r="A1196" s="4">
        <v>62275</v>
      </c>
      <c r="B1196" s="10"/>
      <c r="C1196" s="9">
        <v>5.2030016876670633</v>
      </c>
      <c r="D1196" s="5">
        <f t="shared" si="21"/>
        <v>7</v>
      </c>
      <c r="Q1196" s="4">
        <v>62275</v>
      </c>
      <c r="R1196" s="12">
        <v>1.0574928888691908</v>
      </c>
      <c r="S1196" s="12">
        <v>7.711625858415419E-2</v>
      </c>
      <c r="T1196" s="16">
        <v>1.2556553402566303E-2</v>
      </c>
      <c r="U1196" s="12">
        <v>3.6258202907342239E-2</v>
      </c>
    </row>
    <row r="1197" spans="1:21" x14ac:dyDescent="0.25">
      <c r="A1197" s="4">
        <v>62306</v>
      </c>
      <c r="B1197" s="10"/>
      <c r="C1197" s="9">
        <v>8.5773266498949938E-2</v>
      </c>
      <c r="D1197" s="5">
        <f t="shared" si="21"/>
        <v>8</v>
      </c>
      <c r="Q1197" s="4">
        <v>62306</v>
      </c>
      <c r="R1197" s="12">
        <v>2.9482459374384311E-2</v>
      </c>
      <c r="S1197" s="12">
        <v>8.6849248660596419E-4</v>
      </c>
      <c r="T1197" s="16">
        <v>6.7924897711660684E-4</v>
      </c>
      <c r="U1197" s="12">
        <v>3.4885683213267389E-4</v>
      </c>
    </row>
    <row r="1198" spans="1:21" x14ac:dyDescent="0.25">
      <c r="A1198" s="4">
        <v>62337</v>
      </c>
      <c r="B1198" s="10"/>
      <c r="C1198" s="9">
        <v>9.497424165405663</v>
      </c>
      <c r="D1198" s="5">
        <f t="shared" si="21"/>
        <v>9</v>
      </c>
      <c r="Q1198" s="4">
        <v>62337</v>
      </c>
      <c r="R1198" s="12">
        <v>3.8311821251430969</v>
      </c>
      <c r="S1198" s="12">
        <v>1.2183821842495177</v>
      </c>
      <c r="T1198" s="16">
        <v>0.25775684694221951</v>
      </c>
      <c r="U1198" s="12">
        <v>0.46540571526268065</v>
      </c>
    </row>
    <row r="1199" spans="1:21" x14ac:dyDescent="0.25">
      <c r="A1199" s="4">
        <v>62367</v>
      </c>
      <c r="B1199" s="10"/>
      <c r="C1199" s="9">
        <v>16.798579874619744</v>
      </c>
      <c r="D1199" s="5">
        <f t="shared" si="21"/>
        <v>10</v>
      </c>
      <c r="Q1199" s="4">
        <v>62367</v>
      </c>
      <c r="R1199" s="12">
        <v>20.857173919119745</v>
      </c>
      <c r="S1199" s="12">
        <v>20.116331526880959</v>
      </c>
      <c r="T1199" s="16">
        <v>0.49808492208652816</v>
      </c>
      <c r="U1199" s="12">
        <v>20.139175921345579</v>
      </c>
    </row>
    <row r="1200" spans="1:21" x14ac:dyDescent="0.25">
      <c r="A1200" s="4">
        <v>62398</v>
      </c>
      <c r="B1200" s="10"/>
      <c r="C1200" s="9">
        <v>7.9986073463760246</v>
      </c>
      <c r="D1200" s="5">
        <f t="shared" si="21"/>
        <v>11</v>
      </c>
      <c r="Q1200" s="4">
        <v>62398</v>
      </c>
      <c r="R1200" s="12">
        <v>8.2332025212285309</v>
      </c>
      <c r="S1200" s="12">
        <v>7.6673463221456357</v>
      </c>
      <c r="T1200" s="16">
        <v>0.27009708929189291</v>
      </c>
      <c r="U1200" s="12">
        <v>7.5237702986604837</v>
      </c>
    </row>
    <row r="1201" spans="1:21" x14ac:dyDescent="0.25">
      <c r="A1201" s="4">
        <v>62428</v>
      </c>
      <c r="B1201" s="10"/>
      <c r="C1201" s="9">
        <v>34.595818328783771</v>
      </c>
      <c r="D1201" s="5">
        <f t="shared" si="21"/>
        <v>12</v>
      </c>
      <c r="Q1201" s="4">
        <v>62428</v>
      </c>
      <c r="R1201" s="12">
        <v>63.045404972869846</v>
      </c>
      <c r="S1201" s="12">
        <v>58.060740096594209</v>
      </c>
      <c r="T1201" s="16">
        <v>0.89304094775571818</v>
      </c>
      <c r="U1201" s="12">
        <v>56.587602106837366</v>
      </c>
    </row>
    <row r="1202" spans="1:21" x14ac:dyDescent="0.25">
      <c r="A1202" s="4">
        <v>62459</v>
      </c>
      <c r="B1202" s="10"/>
      <c r="C1202" s="9">
        <v>1.9384838845272137</v>
      </c>
      <c r="D1202" s="5">
        <f t="shared" si="21"/>
        <v>1</v>
      </c>
      <c r="Q1202" s="4">
        <v>62459</v>
      </c>
      <c r="R1202" s="12">
        <v>3.3208180083641188</v>
      </c>
      <c r="S1202" s="12">
        <v>0.34545646948348291</v>
      </c>
      <c r="T1202" s="16">
        <v>0.101894156765397</v>
      </c>
      <c r="U1202" s="12">
        <v>0.20810431567415852</v>
      </c>
    </row>
    <row r="1203" spans="1:21" x14ac:dyDescent="0.25">
      <c r="A1203" s="4">
        <v>62490</v>
      </c>
      <c r="B1203" s="10"/>
      <c r="C1203" s="9">
        <v>61.212900528491673</v>
      </c>
      <c r="D1203" s="5">
        <f t="shared" si="21"/>
        <v>2</v>
      </c>
      <c r="Q1203" s="4">
        <v>62490</v>
      </c>
      <c r="R1203" s="12">
        <v>87.718582208175988</v>
      </c>
      <c r="S1203" s="12">
        <v>80.404430384156854</v>
      </c>
      <c r="T1203" s="16">
        <v>0.950692308061729</v>
      </c>
      <c r="U1203" s="12">
        <v>81.61451799973932</v>
      </c>
    </row>
    <row r="1204" spans="1:21" x14ac:dyDescent="0.25">
      <c r="A1204" s="4">
        <v>62518</v>
      </c>
      <c r="B1204" s="10"/>
      <c r="C1204" s="9">
        <v>35.959729578569807</v>
      </c>
      <c r="D1204" s="5">
        <f t="shared" si="21"/>
        <v>3</v>
      </c>
      <c r="Q1204" s="4">
        <v>62518</v>
      </c>
      <c r="R1204" s="12">
        <v>40.674168251552359</v>
      </c>
      <c r="S1204" s="12">
        <v>43.896993420339875</v>
      </c>
      <c r="T1204" s="16">
        <v>0.83981798519946316</v>
      </c>
      <c r="U1204" s="12">
        <v>45.462268501613821</v>
      </c>
    </row>
    <row r="1205" spans="1:21" x14ac:dyDescent="0.25">
      <c r="A1205" s="4">
        <v>62549</v>
      </c>
      <c r="B1205" s="10"/>
      <c r="C1205" s="9">
        <v>8.3455483657130873</v>
      </c>
      <c r="D1205" s="5">
        <f t="shared" si="21"/>
        <v>4</v>
      </c>
      <c r="Q1205" s="4">
        <v>62549</v>
      </c>
      <c r="R1205" s="12">
        <v>6.7071497911044915</v>
      </c>
      <c r="S1205" s="12">
        <v>2.6759417456953174</v>
      </c>
      <c r="T1205" s="16">
        <v>0.15078104540744597</v>
      </c>
      <c r="U1205" s="12">
        <v>2.9340048316874769</v>
      </c>
    </row>
    <row r="1206" spans="1:21" x14ac:dyDescent="0.25">
      <c r="A1206" s="4">
        <v>62579</v>
      </c>
      <c r="B1206" s="10"/>
      <c r="C1206" s="9">
        <v>14.117235235897018</v>
      </c>
      <c r="D1206" s="5">
        <f t="shared" si="21"/>
        <v>5</v>
      </c>
      <c r="Q1206" s="4">
        <v>62579</v>
      </c>
      <c r="R1206" s="12">
        <v>6.251752846164484</v>
      </c>
      <c r="S1206" s="12">
        <v>2.9423372202950318</v>
      </c>
      <c r="T1206" s="16">
        <v>0.18597565865126905</v>
      </c>
      <c r="U1206" s="12">
        <v>2.6539056813245652</v>
      </c>
    </row>
    <row r="1207" spans="1:21" x14ac:dyDescent="0.25">
      <c r="A1207" s="4">
        <v>62610</v>
      </c>
      <c r="B1207" s="10"/>
      <c r="C1207" s="9">
        <v>45.81176018937726</v>
      </c>
      <c r="D1207" s="5">
        <f t="shared" si="21"/>
        <v>6</v>
      </c>
      <c r="Q1207" s="4">
        <v>62610</v>
      </c>
      <c r="R1207" s="12">
        <v>16.49969322105834</v>
      </c>
      <c r="S1207" s="12">
        <v>15.020577540940751</v>
      </c>
      <c r="T1207" s="16">
        <v>0.77717047826238439</v>
      </c>
      <c r="U1207" s="12">
        <v>16.491387968122378</v>
      </c>
    </row>
    <row r="1208" spans="1:21" x14ac:dyDescent="0.25">
      <c r="A1208" s="4">
        <v>62640</v>
      </c>
      <c r="B1208" s="10"/>
      <c r="C1208" s="9">
        <v>108.05995057209239</v>
      </c>
      <c r="D1208" s="5">
        <f t="shared" si="21"/>
        <v>7</v>
      </c>
      <c r="Q1208" s="4">
        <v>62640</v>
      </c>
      <c r="R1208" s="12">
        <v>21.962827644744017</v>
      </c>
      <c r="S1208" s="12">
        <v>37.529822715597788</v>
      </c>
      <c r="T1208" s="16">
        <v>0.95985341968680782</v>
      </c>
      <c r="U1208" s="12">
        <v>33.112160171224836</v>
      </c>
    </row>
    <row r="1209" spans="1:21" x14ac:dyDescent="0.25">
      <c r="A1209" s="4">
        <v>62671</v>
      </c>
      <c r="B1209" s="10"/>
      <c r="C1209" s="9">
        <v>30.660116709547026</v>
      </c>
      <c r="D1209" s="5">
        <f t="shared" si="21"/>
        <v>8</v>
      </c>
      <c r="Q1209" s="4">
        <v>62671</v>
      </c>
      <c r="R1209" s="12">
        <v>10.538664110619688</v>
      </c>
      <c r="S1209" s="12">
        <v>8.6999222660000353</v>
      </c>
      <c r="T1209" s="16">
        <v>0.67996654822483782</v>
      </c>
      <c r="U1209" s="12">
        <v>9.8171829379799451</v>
      </c>
    </row>
    <row r="1210" spans="1:21" x14ac:dyDescent="0.25">
      <c r="A1210" s="4">
        <v>62702</v>
      </c>
      <c r="B1210" s="10"/>
      <c r="C1210" s="9">
        <v>2.7134809092655727</v>
      </c>
      <c r="D1210" s="5">
        <f t="shared" si="21"/>
        <v>9</v>
      </c>
      <c r="Q1210" s="4">
        <v>62702</v>
      </c>
      <c r="R1210" s="12">
        <v>1.0945956898884344</v>
      </c>
      <c r="S1210" s="12">
        <v>0.16347050677267072</v>
      </c>
      <c r="T1210" s="16">
        <v>8.8095969692539397E-2</v>
      </c>
      <c r="U1210" s="12">
        <v>1.672498157160383E-2</v>
      </c>
    </row>
    <row r="1211" spans="1:21" x14ac:dyDescent="0.25">
      <c r="A1211" s="4">
        <v>62732</v>
      </c>
      <c r="B1211" s="10"/>
      <c r="C1211" s="9">
        <v>6.8153378230907276</v>
      </c>
      <c r="D1211" s="5">
        <f t="shared" si="21"/>
        <v>10</v>
      </c>
      <c r="Q1211" s="4">
        <v>62732</v>
      </c>
      <c r="R1211" s="12">
        <v>8.4619466261266894</v>
      </c>
      <c r="S1211" s="12">
        <v>7.7694268481221656</v>
      </c>
      <c r="T1211" s="16">
        <v>0.21635924697204831</v>
      </c>
      <c r="U1211" s="12">
        <v>7.6388288824430415</v>
      </c>
    </row>
    <row r="1212" spans="1:21" x14ac:dyDescent="0.25">
      <c r="A1212" s="4">
        <v>62763</v>
      </c>
      <c r="B1212" s="10"/>
      <c r="C1212" s="9">
        <v>3.8439865692753372</v>
      </c>
      <c r="D1212" s="5">
        <f t="shared" si="21"/>
        <v>11</v>
      </c>
      <c r="Q1212" s="4">
        <v>62763</v>
      </c>
      <c r="R1212" s="12">
        <v>3.9567287833006839</v>
      </c>
      <c r="S1212" s="12">
        <v>3.5870868445039239</v>
      </c>
      <c r="T1212" s="16">
        <v>0.1593068811359421</v>
      </c>
      <c r="U1212" s="12">
        <v>3.456313687518151</v>
      </c>
    </row>
    <row r="1213" spans="1:21" x14ac:dyDescent="0.25">
      <c r="A1213" s="4">
        <v>62793</v>
      </c>
      <c r="B1213" s="10"/>
      <c r="C1213" s="9">
        <v>44.115546190365905</v>
      </c>
      <c r="D1213" s="5">
        <f t="shared" si="21"/>
        <v>12</v>
      </c>
      <c r="Q1213" s="4">
        <v>62793</v>
      </c>
      <c r="R1213" s="12">
        <v>80.393602739465564</v>
      </c>
      <c r="S1213" s="12">
        <v>71.156862054435067</v>
      </c>
      <c r="T1213" s="16">
        <v>0.93697518799911172</v>
      </c>
      <c r="U1213" s="12">
        <v>69.104285886210107</v>
      </c>
    </row>
    <row r="1214" spans="1:21" x14ac:dyDescent="0.25">
      <c r="A1214" s="4">
        <v>62824</v>
      </c>
      <c r="B1214" s="10"/>
      <c r="C1214" s="9">
        <v>1.075115760109568</v>
      </c>
      <c r="D1214" s="5">
        <f t="shared" si="21"/>
        <v>1</v>
      </c>
      <c r="Q1214" s="4">
        <v>62824</v>
      </c>
      <c r="R1214" s="12">
        <v>1.8417815106668789</v>
      </c>
      <c r="S1214" s="12">
        <v>0.11713881967184735</v>
      </c>
      <c r="T1214" s="16">
        <v>5.5623190926625196E-2</v>
      </c>
      <c r="U1214" s="12">
        <v>4.8956742882299384E-2</v>
      </c>
    </row>
    <row r="1215" spans="1:21" x14ac:dyDescent="0.25">
      <c r="A1215" s="4">
        <v>62855</v>
      </c>
      <c r="B1215" s="10"/>
      <c r="C1215" s="9">
        <v>10.984609857263662</v>
      </c>
      <c r="D1215" s="5">
        <f t="shared" si="21"/>
        <v>2</v>
      </c>
      <c r="Q1215" s="4">
        <v>62855</v>
      </c>
      <c r="R1215" s="12">
        <v>15.741034887582797</v>
      </c>
      <c r="S1215" s="12">
        <v>18.034005736053199</v>
      </c>
      <c r="T1215" s="16">
        <v>0.41886350399059841</v>
      </c>
      <c r="U1215" s="12">
        <v>17.458569161747956</v>
      </c>
    </row>
    <row r="1216" spans="1:21" x14ac:dyDescent="0.25">
      <c r="A1216" s="4">
        <v>62884</v>
      </c>
      <c r="B1216" s="10"/>
      <c r="C1216" s="9">
        <v>19.450399031030781</v>
      </c>
      <c r="D1216" s="5">
        <f t="shared" si="21"/>
        <v>3</v>
      </c>
      <c r="Q1216" s="4">
        <v>62884</v>
      </c>
      <c r="R1216" s="12">
        <v>22.000410237218524</v>
      </c>
      <c r="S1216" s="12">
        <v>18.030651805611445</v>
      </c>
      <c r="T1216" s="16">
        <v>0.55214343144681766</v>
      </c>
      <c r="U1216" s="12">
        <v>18.304265738791209</v>
      </c>
    </row>
    <row r="1217" spans="1:21" x14ac:dyDescent="0.25">
      <c r="A1217" s="4">
        <v>62915</v>
      </c>
      <c r="B1217" s="10"/>
      <c r="C1217" s="9">
        <v>14.274697443719047</v>
      </c>
      <c r="D1217" s="5">
        <f t="shared" si="21"/>
        <v>4</v>
      </c>
      <c r="Q1217" s="4">
        <v>62915</v>
      </c>
      <c r="R1217" s="12">
        <v>11.472287953068413</v>
      </c>
      <c r="S1217" s="12">
        <v>6.3609348281656599</v>
      </c>
      <c r="T1217" s="16">
        <v>0.31651006474789395</v>
      </c>
      <c r="U1217" s="12">
        <v>7.2878787673122423</v>
      </c>
    </row>
    <row r="1218" spans="1:21" x14ac:dyDescent="0.25">
      <c r="A1218" s="4">
        <v>62945</v>
      </c>
      <c r="B1218" s="10"/>
      <c r="C1218" s="9">
        <v>6.2731222233855064</v>
      </c>
      <c r="D1218" s="5">
        <f t="shared" si="21"/>
        <v>5</v>
      </c>
      <c r="Q1218" s="4">
        <v>62945</v>
      </c>
      <c r="R1218" s="12">
        <v>2.7780233919078756</v>
      </c>
      <c r="S1218" s="12">
        <v>0.78872642684685912</v>
      </c>
      <c r="T1218" s="16">
        <v>4.4643245926846549E-2</v>
      </c>
      <c r="U1218" s="12">
        <v>0.49768690954472122</v>
      </c>
    </row>
    <row r="1219" spans="1:21" x14ac:dyDescent="0.25">
      <c r="A1219" s="4">
        <v>62976</v>
      </c>
      <c r="B1219" s="10"/>
      <c r="C1219" s="9">
        <v>22.703036134512462</v>
      </c>
      <c r="D1219" s="5">
        <f t="shared" ref="D1219:D1282" si="22">MONTH(A1219)</f>
        <v>6</v>
      </c>
      <c r="Q1219" s="4">
        <v>62976</v>
      </c>
      <c r="R1219" s="12">
        <v>8.176789755677575</v>
      </c>
      <c r="S1219" s="12">
        <v>4.3163673703773133</v>
      </c>
      <c r="T1219" s="16">
        <v>0.48290921158221317</v>
      </c>
      <c r="U1219" s="12">
        <v>4.3910969616921465</v>
      </c>
    </row>
    <row r="1220" spans="1:21" x14ac:dyDescent="0.25">
      <c r="A1220" s="4">
        <v>63006</v>
      </c>
      <c r="B1220" s="10"/>
      <c r="C1220" s="9">
        <v>42.688382097395355</v>
      </c>
      <c r="D1220" s="5">
        <f t="shared" si="22"/>
        <v>7</v>
      </c>
      <c r="Q1220" s="4">
        <v>63006</v>
      </c>
      <c r="R1220" s="12">
        <v>8.6762725086809755</v>
      </c>
      <c r="S1220" s="12">
        <v>5.6444312224815683</v>
      </c>
      <c r="T1220" s="16">
        <v>0.54508933467029985</v>
      </c>
      <c r="U1220" s="12">
        <v>6.6313583840771244</v>
      </c>
    </row>
    <row r="1221" spans="1:21" x14ac:dyDescent="0.25">
      <c r="A1221" s="4">
        <v>63037</v>
      </c>
      <c r="B1221" s="10"/>
      <c r="C1221" s="9">
        <v>7.4148221788109998</v>
      </c>
      <c r="D1221" s="5">
        <f t="shared" si="22"/>
        <v>8</v>
      </c>
      <c r="Q1221" s="4">
        <v>63037</v>
      </c>
      <c r="R1221" s="12">
        <v>2.5486635006229514</v>
      </c>
      <c r="S1221" s="12">
        <v>0.94088845492515327</v>
      </c>
      <c r="T1221" s="16">
        <v>0.18826543390757805</v>
      </c>
      <c r="U1221" s="12">
        <v>1.0996034906131993</v>
      </c>
    </row>
    <row r="1222" spans="1:21" x14ac:dyDescent="0.25">
      <c r="A1222" s="4">
        <v>63068</v>
      </c>
      <c r="B1222" s="10"/>
      <c r="C1222" s="9">
        <v>30.10803875052779</v>
      </c>
      <c r="D1222" s="5">
        <f t="shared" si="22"/>
        <v>9</v>
      </c>
      <c r="Q1222" s="4">
        <v>63068</v>
      </c>
      <c r="R1222" s="12">
        <v>12.145333079288752</v>
      </c>
      <c r="S1222" s="12">
        <v>7.747830644983412</v>
      </c>
      <c r="T1222" s="16">
        <v>0.58899940762232905</v>
      </c>
      <c r="U1222" s="12">
        <v>6.6525487048653318</v>
      </c>
    </row>
    <row r="1223" spans="1:21" x14ac:dyDescent="0.25">
      <c r="A1223" s="4">
        <v>63098</v>
      </c>
      <c r="B1223" s="10"/>
      <c r="C1223" s="9">
        <v>11.919692487537906</v>
      </c>
      <c r="D1223" s="5">
        <f t="shared" si="22"/>
        <v>10</v>
      </c>
      <c r="Q1223" s="4">
        <v>63098</v>
      </c>
      <c r="R1223" s="12">
        <v>14.799530741918193</v>
      </c>
      <c r="S1223" s="12">
        <v>14.009152562388865</v>
      </c>
      <c r="T1223" s="16">
        <v>0.37243616204510666</v>
      </c>
      <c r="U1223" s="12">
        <v>13.95228888938883</v>
      </c>
    </row>
    <row r="1224" spans="1:21" x14ac:dyDescent="0.25">
      <c r="A1224" s="4">
        <v>63129</v>
      </c>
      <c r="B1224" s="10"/>
      <c r="C1224" s="9">
        <v>30.778413626881608</v>
      </c>
      <c r="D1224" s="5">
        <f t="shared" si="22"/>
        <v>11</v>
      </c>
      <c r="Q1224" s="4">
        <v>63129</v>
      </c>
      <c r="R1224" s="12">
        <v>31.68112918895411</v>
      </c>
      <c r="S1224" s="12">
        <v>30.998407579982398</v>
      </c>
      <c r="T1224" s="16">
        <v>0.62296625771614089</v>
      </c>
      <c r="U1224" s="12">
        <v>31.049760991153171</v>
      </c>
    </row>
    <row r="1225" spans="1:21" x14ac:dyDescent="0.25">
      <c r="A1225" s="4">
        <v>63159</v>
      </c>
      <c r="B1225" s="10"/>
      <c r="C1225" s="9">
        <v>6.7603648351917558</v>
      </c>
      <c r="D1225" s="5">
        <f t="shared" si="22"/>
        <v>12</v>
      </c>
      <c r="Q1225" s="4">
        <v>63159</v>
      </c>
      <c r="R1225" s="12">
        <v>12.31969525185087</v>
      </c>
      <c r="S1225" s="12">
        <v>14.810886372389739</v>
      </c>
      <c r="T1225" s="16">
        <v>0.43699549987002739</v>
      </c>
      <c r="U1225" s="12">
        <v>16.1515698402042</v>
      </c>
    </row>
    <row r="1226" spans="1:21" x14ac:dyDescent="0.25">
      <c r="A1226" s="4">
        <v>63190</v>
      </c>
      <c r="B1226" s="10"/>
      <c r="C1226" s="9">
        <v>7.1813503046016685</v>
      </c>
      <c r="D1226" s="5">
        <f t="shared" si="22"/>
        <v>1</v>
      </c>
      <c r="Q1226" s="4">
        <v>63190</v>
      </c>
      <c r="R1226" s="12">
        <v>12.302375896051757</v>
      </c>
      <c r="S1226" s="12">
        <v>3.8182119318147283</v>
      </c>
      <c r="T1226" s="16">
        <v>0.35039739825052418</v>
      </c>
      <c r="U1226" s="12">
        <v>4.1451336969569423</v>
      </c>
    </row>
    <row r="1227" spans="1:21" x14ac:dyDescent="0.25">
      <c r="A1227" s="4">
        <v>63221</v>
      </c>
      <c r="B1227" s="10"/>
      <c r="C1227" s="9">
        <v>4.7962619311388321</v>
      </c>
      <c r="D1227" s="5">
        <f t="shared" si="22"/>
        <v>2</v>
      </c>
      <c r="Q1227" s="4">
        <v>63221</v>
      </c>
      <c r="R1227" s="12">
        <v>6.8730821912730793</v>
      </c>
      <c r="S1227" s="12">
        <v>8.7687690261406672</v>
      </c>
      <c r="T1227" s="16">
        <v>0.21162240811249608</v>
      </c>
      <c r="U1227" s="12">
        <v>8.5439560522862763</v>
      </c>
    </row>
    <row r="1228" spans="1:21" x14ac:dyDescent="0.25">
      <c r="A1228" s="4">
        <v>63249</v>
      </c>
      <c r="B1228" s="10"/>
      <c r="C1228" s="9">
        <v>38.143922830567092</v>
      </c>
      <c r="D1228" s="5">
        <f t="shared" si="22"/>
        <v>3</v>
      </c>
      <c r="Q1228" s="4">
        <v>63249</v>
      </c>
      <c r="R1228" s="12">
        <v>43.144716413810713</v>
      </c>
      <c r="S1228" s="12">
        <v>47.80943455947439</v>
      </c>
      <c r="T1228" s="16">
        <v>0.86141490828099232</v>
      </c>
      <c r="U1228" s="12">
        <v>49.384633698909234</v>
      </c>
    </row>
    <row r="1229" spans="1:21" x14ac:dyDescent="0.25">
      <c r="A1229" s="4">
        <v>63280</v>
      </c>
      <c r="B1229" s="10"/>
      <c r="C1229" s="9">
        <v>52.201740933037854</v>
      </c>
      <c r="D1229" s="5">
        <f t="shared" si="22"/>
        <v>4</v>
      </c>
      <c r="Q1229" s="4">
        <v>63280</v>
      </c>
      <c r="R1229" s="12">
        <v>41.953491903871935</v>
      </c>
      <c r="S1229" s="12">
        <v>51.512655269459273</v>
      </c>
      <c r="T1229" s="16">
        <v>0.90676463324888723</v>
      </c>
      <c r="U1229" s="12">
        <v>50.357688173516799</v>
      </c>
    </row>
    <row r="1230" spans="1:21" x14ac:dyDescent="0.25">
      <c r="A1230" s="4">
        <v>63310</v>
      </c>
      <c r="B1230" s="10"/>
      <c r="C1230" s="9">
        <v>36.316398061867922</v>
      </c>
      <c r="D1230" s="5">
        <f t="shared" si="22"/>
        <v>5</v>
      </c>
      <c r="Q1230" s="4">
        <v>63310</v>
      </c>
      <c r="R1230" s="12">
        <v>16.082550241028038</v>
      </c>
      <c r="S1230" s="12">
        <v>13.637676828844203</v>
      </c>
      <c r="T1230" s="16">
        <v>0.62296444361443548</v>
      </c>
      <c r="U1230" s="12">
        <v>14.450672356320966</v>
      </c>
    </row>
    <row r="1231" spans="1:21" x14ac:dyDescent="0.25">
      <c r="A1231" s="4">
        <v>63341</v>
      </c>
      <c r="B1231" s="10"/>
      <c r="C1231" s="9">
        <v>129.23511501821136</v>
      </c>
      <c r="D1231" s="5">
        <f t="shared" si="22"/>
        <v>6</v>
      </c>
      <c r="Q1231" s="4">
        <v>63341</v>
      </c>
      <c r="R1231" s="12">
        <v>46.545684827956457</v>
      </c>
      <c r="S1231" s="12">
        <v>94.780470157539355</v>
      </c>
      <c r="T1231" s="16">
        <v>0.99173059857525026</v>
      </c>
      <c r="U1231" s="12">
        <v>80.974178255261776</v>
      </c>
    </row>
    <row r="1232" spans="1:21" x14ac:dyDescent="0.25">
      <c r="A1232" s="4">
        <v>63371</v>
      </c>
      <c r="B1232" s="10"/>
      <c r="C1232" s="9">
        <v>1.2784723297667211</v>
      </c>
      <c r="D1232" s="5">
        <f t="shared" si="22"/>
        <v>7</v>
      </c>
      <c r="Q1232" s="4">
        <v>63371</v>
      </c>
      <c r="R1232" s="12">
        <v>0.25984527365212851</v>
      </c>
      <c r="S1232" s="12">
        <v>4.4032281379390937E-3</v>
      </c>
      <c r="T1232" s="16">
        <v>5.0907039879388076E-4</v>
      </c>
      <c r="U1232" s="12">
        <v>5.5334167042278603E-4</v>
      </c>
    </row>
    <row r="1233" spans="1:21" x14ac:dyDescent="0.25">
      <c r="A1233" s="4">
        <v>63402</v>
      </c>
      <c r="B1233" s="10"/>
      <c r="C1233" s="9">
        <v>27.156490884055255</v>
      </c>
      <c r="D1233" s="5">
        <f t="shared" si="22"/>
        <v>8</v>
      </c>
      <c r="Q1233" s="4">
        <v>63402</v>
      </c>
      <c r="R1233" s="12">
        <v>9.3343785531334369</v>
      </c>
      <c r="S1233" s="12">
        <v>7.1934514117517949</v>
      </c>
      <c r="T1233" s="16">
        <v>0.62832538234502477</v>
      </c>
      <c r="U1233" s="12">
        <v>8.2572056365844908</v>
      </c>
    </row>
    <row r="1234" spans="1:21" x14ac:dyDescent="0.25">
      <c r="A1234" s="4">
        <v>63433</v>
      </c>
      <c r="B1234" s="10"/>
      <c r="C1234" s="9">
        <v>2.0156902576912357</v>
      </c>
      <c r="D1234" s="5">
        <f t="shared" si="22"/>
        <v>9</v>
      </c>
      <c r="Q1234" s="4">
        <v>63433</v>
      </c>
      <c r="R1234" s="12">
        <v>0.81311272936727841</v>
      </c>
      <c r="S1234" s="12">
        <v>0.1014946969625216</v>
      </c>
      <c r="T1234" s="16">
        <v>6.7521874517872879E-2</v>
      </c>
      <c r="U1234" s="12">
        <v>7.3499110931558058E-3</v>
      </c>
    </row>
    <row r="1235" spans="1:21" x14ac:dyDescent="0.25">
      <c r="A1235" s="4">
        <v>63463</v>
      </c>
      <c r="B1235" s="10"/>
      <c r="C1235" s="9">
        <v>96.22422245030603</v>
      </c>
      <c r="D1235" s="5">
        <f t="shared" si="22"/>
        <v>10</v>
      </c>
      <c r="Q1235" s="4">
        <v>63463</v>
      </c>
      <c r="R1235" s="12">
        <v>119.47232193778105</v>
      </c>
      <c r="S1235" s="12">
        <v>126.74051663688041</v>
      </c>
      <c r="T1235" s="16">
        <v>0.99085837201075067</v>
      </c>
      <c r="U1235" s="12">
        <v>125.78033709489402</v>
      </c>
    </row>
    <row r="1236" spans="1:21" x14ac:dyDescent="0.25">
      <c r="A1236" s="4">
        <v>63494</v>
      </c>
      <c r="B1236" s="10"/>
      <c r="C1236" s="9">
        <v>15.921000233285547</v>
      </c>
      <c r="D1236" s="5">
        <f t="shared" si="22"/>
        <v>11</v>
      </c>
      <c r="Q1236" s="4">
        <v>63494</v>
      </c>
      <c r="R1236" s="12">
        <v>16.387955250804524</v>
      </c>
      <c r="S1236" s="12">
        <v>15.651817926300964</v>
      </c>
      <c r="T1236" s="16">
        <v>0.42723028922415407</v>
      </c>
      <c r="U1236" s="12">
        <v>15.559364130568245</v>
      </c>
    </row>
    <row r="1237" spans="1:21" x14ac:dyDescent="0.25">
      <c r="A1237" s="4">
        <v>63524</v>
      </c>
      <c r="B1237" s="10"/>
      <c r="C1237" s="9">
        <v>4.7970628488602065</v>
      </c>
      <c r="D1237" s="5">
        <f t="shared" si="22"/>
        <v>12</v>
      </c>
      <c r="Q1237" s="4">
        <v>63524</v>
      </c>
      <c r="R1237" s="12">
        <v>8.7418880256714715</v>
      </c>
      <c r="S1237" s="12">
        <v>11.115000803250354</v>
      </c>
      <c r="T1237" s="16">
        <v>0.35437028117007946</v>
      </c>
      <c r="U1237" s="12">
        <v>12.623233159635088</v>
      </c>
    </row>
    <row r="1238" spans="1:21" x14ac:dyDescent="0.25">
      <c r="A1238" s="4">
        <v>63555</v>
      </c>
      <c r="B1238" s="10"/>
      <c r="C1238" s="9">
        <v>14.882522897597145</v>
      </c>
      <c r="D1238" s="5">
        <f t="shared" si="22"/>
        <v>1</v>
      </c>
      <c r="Q1238" s="4">
        <v>63555</v>
      </c>
      <c r="R1238" s="12">
        <v>25.495259693781644</v>
      </c>
      <c r="S1238" s="12">
        <v>14.537309602762528</v>
      </c>
      <c r="T1238" s="16">
        <v>0.60428602490630912</v>
      </c>
      <c r="U1238" s="12">
        <v>17.492308003490791</v>
      </c>
    </row>
    <row r="1239" spans="1:21" x14ac:dyDescent="0.25">
      <c r="A1239" s="4">
        <v>63586</v>
      </c>
      <c r="B1239" s="10"/>
      <c r="C1239" s="9">
        <v>15.292596765628577</v>
      </c>
      <c r="D1239" s="5">
        <f t="shared" si="22"/>
        <v>2</v>
      </c>
      <c r="Q1239" s="4">
        <v>63586</v>
      </c>
      <c r="R1239" s="12">
        <v>21.914415016780627</v>
      </c>
      <c r="S1239" s="12">
        <v>24.050869842708234</v>
      </c>
      <c r="T1239" s="16">
        <v>0.52987308810057088</v>
      </c>
      <c r="U1239" s="12">
        <v>23.336406081519684</v>
      </c>
    </row>
    <row r="1240" spans="1:21" x14ac:dyDescent="0.25">
      <c r="A1240" s="4">
        <v>63614</v>
      </c>
      <c r="B1240" s="10"/>
      <c r="C1240" s="9">
        <v>49.636657887261158</v>
      </c>
      <c r="D1240" s="5">
        <f t="shared" si="22"/>
        <v>3</v>
      </c>
      <c r="Q1240" s="4">
        <v>63614</v>
      </c>
      <c r="R1240" s="12">
        <v>56.144186789279544</v>
      </c>
      <c r="S1240" s="12">
        <v>70.003339796246664</v>
      </c>
      <c r="T1240" s="16">
        <v>0.93669465816273156</v>
      </c>
      <c r="U1240" s="12">
        <v>70.831784094071253</v>
      </c>
    </row>
    <row r="1241" spans="1:21" x14ac:dyDescent="0.25">
      <c r="A1241" s="4">
        <v>63645</v>
      </c>
      <c r="B1241" s="10"/>
      <c r="C1241" s="9">
        <v>11.61623420839917</v>
      </c>
      <c r="D1241" s="5">
        <f t="shared" si="22"/>
        <v>4</v>
      </c>
      <c r="Q1241" s="4">
        <v>63645</v>
      </c>
      <c r="R1241" s="12">
        <v>9.3357343855772079</v>
      </c>
      <c r="S1241" s="12">
        <v>4.5618569759628267</v>
      </c>
      <c r="T1241" s="16">
        <v>0.24170999733918425</v>
      </c>
      <c r="U1241" s="12">
        <v>5.176652621815605</v>
      </c>
    </row>
    <row r="1242" spans="1:21" x14ac:dyDescent="0.25">
      <c r="A1242" s="4">
        <v>63675</v>
      </c>
      <c r="B1242" s="10"/>
      <c r="C1242" s="9">
        <v>30.77913410805165</v>
      </c>
      <c r="D1242" s="5">
        <f t="shared" si="22"/>
        <v>5</v>
      </c>
      <c r="Q1242" s="4">
        <v>63675</v>
      </c>
      <c r="R1242" s="12">
        <v>13.630398307254922</v>
      </c>
      <c r="S1242" s="12">
        <v>10.426196015510971</v>
      </c>
      <c r="T1242" s="16">
        <v>0.53007325805791594</v>
      </c>
      <c r="U1242" s="12">
        <v>10.973157232029415</v>
      </c>
    </row>
    <row r="1243" spans="1:21" x14ac:dyDescent="0.25">
      <c r="A1243" s="4">
        <v>63706</v>
      </c>
      <c r="B1243" s="10"/>
      <c r="C1243" s="9">
        <v>24.031042944769077</v>
      </c>
      <c r="D1243" s="5">
        <f t="shared" si="22"/>
        <v>6</v>
      </c>
      <c r="Q1243" s="4">
        <v>63706</v>
      </c>
      <c r="R1243" s="12">
        <v>8.6550884474137479</v>
      </c>
      <c r="S1243" s="12">
        <v>4.7749829682181826</v>
      </c>
      <c r="T1243" s="16">
        <v>0.50626626059730018</v>
      </c>
      <c r="U1243" s="12">
        <v>4.9289984103967379</v>
      </c>
    </row>
    <row r="1244" spans="1:21" x14ac:dyDescent="0.25">
      <c r="A1244" s="4">
        <v>63736</v>
      </c>
      <c r="B1244" s="10"/>
      <c r="C1244" s="9">
        <v>67.252125722300022</v>
      </c>
      <c r="D1244" s="5">
        <f t="shared" si="22"/>
        <v>7</v>
      </c>
      <c r="Q1244" s="4">
        <v>63736</v>
      </c>
      <c r="R1244" s="12">
        <v>13.668772178422538</v>
      </c>
      <c r="S1244" s="12">
        <v>14.264797386331594</v>
      </c>
      <c r="T1244" s="16">
        <v>0.80139570784789682</v>
      </c>
      <c r="U1244" s="12">
        <v>15.301279554815403</v>
      </c>
    </row>
    <row r="1245" spans="1:21" x14ac:dyDescent="0.25">
      <c r="A1245" s="4">
        <v>63767</v>
      </c>
      <c r="B1245" s="10"/>
      <c r="C1245" s="9">
        <v>74.285932491070213</v>
      </c>
      <c r="D1245" s="5">
        <f t="shared" si="22"/>
        <v>8</v>
      </c>
      <c r="Q1245" s="4">
        <v>63767</v>
      </c>
      <c r="R1245" s="12">
        <v>25.533969687199043</v>
      </c>
      <c r="S1245" s="12">
        <v>34.813072283878491</v>
      </c>
      <c r="T1245" s="16">
        <v>0.9549496862376925</v>
      </c>
      <c r="U1245" s="12">
        <v>32.060831614914662</v>
      </c>
    </row>
    <row r="1246" spans="1:21" x14ac:dyDescent="0.25">
      <c r="A1246" s="4">
        <v>63798</v>
      </c>
      <c r="B1246" s="10"/>
      <c r="C1246" s="9">
        <v>31.679731866992253</v>
      </c>
      <c r="D1246" s="5">
        <f t="shared" si="22"/>
        <v>9</v>
      </c>
      <c r="Q1246" s="4">
        <v>63798</v>
      </c>
      <c r="R1246" s="12">
        <v>12.779341044937185</v>
      </c>
      <c r="S1246" s="12">
        <v>8.4064453821239464</v>
      </c>
      <c r="T1246" s="16">
        <v>0.60678512368042403</v>
      </c>
      <c r="U1246" s="12">
        <v>7.3823127891247644</v>
      </c>
    </row>
    <row r="1247" spans="1:21" x14ac:dyDescent="0.25">
      <c r="A1247" s="4">
        <v>63828</v>
      </c>
      <c r="B1247" s="10"/>
      <c r="C1247" s="9">
        <v>71.8937378517995</v>
      </c>
      <c r="D1247" s="5">
        <f t="shared" si="22"/>
        <v>10</v>
      </c>
      <c r="Q1247" s="4">
        <v>63828</v>
      </c>
      <c r="R1247" s="12">
        <v>89.263509490829946</v>
      </c>
      <c r="S1247" s="12">
        <v>93.199927405972346</v>
      </c>
      <c r="T1247" s="16">
        <v>0.96782162829828566</v>
      </c>
      <c r="U1247" s="12">
        <v>93.002569800522224</v>
      </c>
    </row>
    <row r="1248" spans="1:21" x14ac:dyDescent="0.25">
      <c r="A1248" s="4">
        <v>63859</v>
      </c>
      <c r="B1248" s="10"/>
      <c r="C1248" s="9">
        <v>59.71125235803148</v>
      </c>
      <c r="D1248" s="5">
        <f t="shared" si="22"/>
        <v>11</v>
      </c>
      <c r="Q1248" s="4">
        <v>63859</v>
      </c>
      <c r="R1248" s="12">
        <v>61.462553688498865</v>
      </c>
      <c r="S1248" s="12">
        <v>61.617532927312133</v>
      </c>
      <c r="T1248" s="16">
        <v>0.82422963138156669</v>
      </c>
      <c r="U1248" s="12">
        <v>61.847692672807263</v>
      </c>
    </row>
    <row r="1249" spans="1:21" x14ac:dyDescent="0.25">
      <c r="A1249" s="4">
        <v>63889</v>
      </c>
      <c r="B1249" s="10"/>
      <c r="C1249" s="9">
        <v>6.8851252673380063</v>
      </c>
      <c r="D1249" s="5">
        <f t="shared" si="22"/>
        <v>12</v>
      </c>
      <c r="Q1249" s="4">
        <v>63889</v>
      </c>
      <c r="R1249" s="12">
        <v>12.547051399189247</v>
      </c>
      <c r="S1249" s="12">
        <v>15.039253823973759</v>
      </c>
      <c r="T1249" s="16">
        <v>0.44174053539672509</v>
      </c>
      <c r="U1249" s="12">
        <v>16.367500060203671</v>
      </c>
    </row>
    <row r="1250" spans="1:21" x14ac:dyDescent="0.25">
      <c r="A1250" s="4">
        <v>63920</v>
      </c>
      <c r="B1250" s="10"/>
      <c r="C1250" s="9">
        <v>35.507164552623031</v>
      </c>
      <c r="D1250" s="5">
        <f t="shared" si="22"/>
        <v>1</v>
      </c>
      <c r="Q1250" s="4">
        <v>63920</v>
      </c>
      <c r="R1250" s="12">
        <v>60.827346780371599</v>
      </c>
      <c r="S1250" s="12">
        <v>71.669430356793086</v>
      </c>
      <c r="T1250" s="16">
        <v>0.89851567450736447</v>
      </c>
      <c r="U1250" s="12">
        <v>75.138890759233476</v>
      </c>
    </row>
    <row r="1251" spans="1:21" x14ac:dyDescent="0.25">
      <c r="A1251" s="4">
        <v>63951</v>
      </c>
      <c r="B1251" s="10"/>
      <c r="C1251" s="9">
        <v>15.484058755373093</v>
      </c>
      <c r="D1251" s="5">
        <f t="shared" si="22"/>
        <v>2</v>
      </c>
      <c r="Q1251" s="4">
        <v>63951</v>
      </c>
      <c r="R1251" s="12">
        <v>22.188781598696281</v>
      </c>
      <c r="S1251" s="12">
        <v>24.312674992227979</v>
      </c>
      <c r="T1251" s="16">
        <v>0.53427963031564962</v>
      </c>
      <c r="U1251" s="12">
        <v>23.593856874219313</v>
      </c>
    </row>
    <row r="1252" spans="1:21" x14ac:dyDescent="0.25">
      <c r="A1252" s="4">
        <v>63979</v>
      </c>
      <c r="B1252" s="10"/>
      <c r="C1252" s="9">
        <v>12.391217484678062</v>
      </c>
      <c r="D1252" s="5">
        <f t="shared" si="22"/>
        <v>3</v>
      </c>
      <c r="Q1252" s="4">
        <v>63979</v>
      </c>
      <c r="R1252" s="12">
        <v>14.015746801214354</v>
      </c>
      <c r="S1252" s="12">
        <v>9.3862957400557558</v>
      </c>
      <c r="T1252" s="16">
        <v>0.34476518570054454</v>
      </c>
      <c r="U1252" s="12">
        <v>8.8633602111367082</v>
      </c>
    </row>
    <row r="1253" spans="1:21" x14ac:dyDescent="0.25">
      <c r="A1253" s="4">
        <v>64010</v>
      </c>
      <c r="B1253" s="10"/>
      <c r="C1253" s="9">
        <v>23.180405744514562</v>
      </c>
      <c r="D1253" s="5">
        <f t="shared" si="22"/>
        <v>4</v>
      </c>
      <c r="Q1253" s="4">
        <v>64010</v>
      </c>
      <c r="R1253" s="12">
        <v>18.629627045933926</v>
      </c>
      <c r="S1253" s="12">
        <v>13.905159617958194</v>
      </c>
      <c r="T1253" s="16">
        <v>0.54229153358992854</v>
      </c>
      <c r="U1253" s="12">
        <v>15.690424311059873</v>
      </c>
    </row>
    <row r="1254" spans="1:21" x14ac:dyDescent="0.25">
      <c r="A1254" s="4">
        <v>64040</v>
      </c>
      <c r="B1254" s="10"/>
      <c r="C1254" s="9">
        <v>12.826606056872565</v>
      </c>
      <c r="D1254" s="5">
        <f t="shared" si="22"/>
        <v>5</v>
      </c>
      <c r="Q1254" s="4">
        <v>64040</v>
      </c>
      <c r="R1254" s="12">
        <v>5.6802036363877608</v>
      </c>
      <c r="S1254" s="12">
        <v>2.5183123312925515</v>
      </c>
      <c r="T1254" s="16">
        <v>0.15930009364023331</v>
      </c>
      <c r="U1254" s="12">
        <v>2.1985663789720604</v>
      </c>
    </row>
    <row r="1255" spans="1:21" x14ac:dyDescent="0.25">
      <c r="A1255" s="4">
        <v>64071</v>
      </c>
      <c r="B1255" s="10"/>
      <c r="C1255" s="9">
        <v>70.158723880971181</v>
      </c>
      <c r="D1255" s="5">
        <f t="shared" si="22"/>
        <v>6</v>
      </c>
      <c r="Q1255" s="4">
        <v>64071</v>
      </c>
      <c r="R1255" s="12">
        <v>25.26856457886954</v>
      </c>
      <c r="S1255" s="12">
        <v>32.024330278786984</v>
      </c>
      <c r="T1255" s="16">
        <v>0.91263505676008494</v>
      </c>
      <c r="U1255" s="12">
        <v>33.200024030215637</v>
      </c>
    </row>
    <row r="1256" spans="1:21" x14ac:dyDescent="0.25">
      <c r="A1256" s="4">
        <v>64101</v>
      </c>
      <c r="B1256" s="10"/>
      <c r="C1256" s="9">
        <v>15.012288233510874</v>
      </c>
      <c r="D1256" s="5">
        <f t="shared" si="22"/>
        <v>7</v>
      </c>
      <c r="Q1256" s="4">
        <v>64101</v>
      </c>
      <c r="R1256" s="12">
        <v>3.0511979441064967</v>
      </c>
      <c r="S1256" s="12">
        <v>0.6696364826419493</v>
      </c>
      <c r="T1256" s="16">
        <v>0.11112974671055521</v>
      </c>
      <c r="U1256" s="12">
        <v>0.64076652801370015</v>
      </c>
    </row>
    <row r="1257" spans="1:21" x14ac:dyDescent="0.25">
      <c r="A1257" s="4">
        <v>64132</v>
      </c>
      <c r="B1257" s="10"/>
      <c r="C1257" s="9">
        <v>10.123842673994176</v>
      </c>
      <c r="D1257" s="5">
        <f t="shared" si="22"/>
        <v>8</v>
      </c>
      <c r="Q1257" s="4">
        <v>64132</v>
      </c>
      <c r="R1257" s="12">
        <v>3.4798229393810662</v>
      </c>
      <c r="S1257" s="12">
        <v>1.5327050605269814</v>
      </c>
      <c r="T1257" s="16">
        <v>0.26323245562868269</v>
      </c>
      <c r="U1257" s="12">
        <v>1.8303212573160133</v>
      </c>
    </row>
    <row r="1258" spans="1:21" x14ac:dyDescent="0.25">
      <c r="A1258" s="4">
        <v>64163</v>
      </c>
      <c r="B1258" s="10"/>
      <c r="C1258" s="9">
        <v>39.361344317008808</v>
      </c>
      <c r="D1258" s="5">
        <f t="shared" si="22"/>
        <v>9</v>
      </c>
      <c r="Q1258" s="4">
        <v>64163</v>
      </c>
      <c r="R1258" s="12">
        <v>15.87803978664207</v>
      </c>
      <c r="S1258" s="12">
        <v>11.906630320788768</v>
      </c>
      <c r="T1258" s="16">
        <v>0.68294446609041404</v>
      </c>
      <c r="U1258" s="12">
        <v>11.352145886467229</v>
      </c>
    </row>
    <row r="1259" spans="1:21" x14ac:dyDescent="0.25">
      <c r="A1259" s="4">
        <v>64193</v>
      </c>
      <c r="B1259" s="10"/>
      <c r="C1259" s="9">
        <v>32.135723824715832</v>
      </c>
      <c r="D1259" s="5">
        <f t="shared" si="22"/>
        <v>10</v>
      </c>
      <c r="Q1259" s="4">
        <v>64193</v>
      </c>
      <c r="R1259" s="12">
        <v>39.899824022717887</v>
      </c>
      <c r="S1259" s="12">
        <v>39.868863302944575</v>
      </c>
      <c r="T1259" s="16">
        <v>0.75993221224423158</v>
      </c>
      <c r="U1259" s="12">
        <v>40.060859529271518</v>
      </c>
    </row>
    <row r="1260" spans="1:21" x14ac:dyDescent="0.25">
      <c r="A1260" s="4">
        <v>64224</v>
      </c>
      <c r="B1260" s="10"/>
      <c r="C1260" s="9">
        <v>28.392230296834303</v>
      </c>
      <c r="D1260" s="5">
        <f t="shared" si="22"/>
        <v>11</v>
      </c>
      <c r="Q1260" s="4">
        <v>64224</v>
      </c>
      <c r="R1260" s="12">
        <v>29.224960288756744</v>
      </c>
      <c r="S1260" s="12">
        <v>28.510667058758518</v>
      </c>
      <c r="T1260" s="16">
        <v>0.59752005262090524</v>
      </c>
      <c r="U1260" s="12">
        <v>28.539529794053241</v>
      </c>
    </row>
    <row r="1261" spans="1:21" x14ac:dyDescent="0.25">
      <c r="A1261" s="4">
        <v>64254</v>
      </c>
      <c r="B1261" s="10"/>
      <c r="C1261" s="9">
        <v>21.608124574537126</v>
      </c>
      <c r="D1261" s="5">
        <f t="shared" si="22"/>
        <v>12</v>
      </c>
      <c r="Q1261" s="4">
        <v>64254</v>
      </c>
      <c r="R1261" s="12">
        <v>39.377388086596703</v>
      </c>
      <c r="S1261" s="12">
        <v>39.160218478315713</v>
      </c>
      <c r="T1261" s="16">
        <v>0.77533891357586038</v>
      </c>
      <c r="U1261" s="12">
        <v>38.824877853217117</v>
      </c>
    </row>
    <row r="1262" spans="1:21" x14ac:dyDescent="0.25">
      <c r="A1262" s="4">
        <v>64285</v>
      </c>
      <c r="B1262" s="10"/>
      <c r="C1262" s="9">
        <v>2.2962559144428241</v>
      </c>
      <c r="D1262" s="5">
        <f t="shared" si="22"/>
        <v>1</v>
      </c>
      <c r="Q1262" s="4">
        <v>64285</v>
      </c>
      <c r="R1262" s="12">
        <v>3.9337175064285637</v>
      </c>
      <c r="S1262" s="12">
        <v>0.47135634695440859</v>
      </c>
      <c r="T1262" s="16">
        <v>0.12079909007941197</v>
      </c>
      <c r="U1262" s="12">
        <v>0.31279726089747606</v>
      </c>
    </row>
    <row r="1263" spans="1:21" x14ac:dyDescent="0.25">
      <c r="A1263" s="4">
        <v>64316</v>
      </c>
      <c r="B1263" s="10"/>
      <c r="C1263" s="9">
        <v>5.2590119760894281</v>
      </c>
      <c r="D1263" s="5">
        <f t="shared" si="22"/>
        <v>2</v>
      </c>
      <c r="Q1263" s="4">
        <v>64316</v>
      </c>
      <c r="R1263" s="12">
        <v>7.5362067534059012</v>
      </c>
      <c r="S1263" s="12">
        <v>9.5004900684491282</v>
      </c>
      <c r="T1263" s="16">
        <v>0.22942400661941742</v>
      </c>
      <c r="U1263" s="12">
        <v>9.2431645040983632</v>
      </c>
    </row>
    <row r="1264" spans="1:21" x14ac:dyDescent="0.25">
      <c r="A1264" s="4">
        <v>64345</v>
      </c>
      <c r="B1264" s="10"/>
      <c r="C1264" s="9">
        <v>66.024124650009512</v>
      </c>
      <c r="D1264" s="5">
        <f t="shared" si="22"/>
        <v>3</v>
      </c>
      <c r="Q1264" s="4">
        <v>64345</v>
      </c>
      <c r="R1264" s="12">
        <v>74.680104276322524</v>
      </c>
      <c r="S1264" s="12">
        <v>105.80642784885656</v>
      </c>
      <c r="T1264" s="16">
        <v>0.98019026387324593</v>
      </c>
      <c r="U1264" s="12">
        <v>103.09224908324268</v>
      </c>
    </row>
    <row r="1265" spans="1:21" x14ac:dyDescent="0.25">
      <c r="A1265" s="4">
        <v>64376</v>
      </c>
      <c r="B1265" s="10"/>
      <c r="C1265" s="9">
        <v>14.116919172145536</v>
      </c>
      <c r="D1265" s="5">
        <f t="shared" si="22"/>
        <v>4</v>
      </c>
      <c r="Q1265" s="4">
        <v>64376</v>
      </c>
      <c r="R1265" s="12">
        <v>11.345484721590804</v>
      </c>
      <c r="S1265" s="12">
        <v>6.247903380990417</v>
      </c>
      <c r="T1265" s="16">
        <v>0.31211239607721447</v>
      </c>
      <c r="U1265" s="12">
        <v>7.1563869558412332</v>
      </c>
    </row>
    <row r="1266" spans="1:21" x14ac:dyDescent="0.25">
      <c r="A1266" s="4">
        <v>64406</v>
      </c>
      <c r="B1266" s="10"/>
      <c r="C1266" s="9">
        <v>32.049801232175916</v>
      </c>
      <c r="D1266" s="5">
        <f t="shared" si="22"/>
        <v>5</v>
      </c>
      <c r="Q1266" s="4">
        <v>64406</v>
      </c>
      <c r="R1266" s="12">
        <v>14.193107412616568</v>
      </c>
      <c r="S1266" s="12">
        <v>11.133768811608169</v>
      </c>
      <c r="T1266" s="16">
        <v>0.55267265457584436</v>
      </c>
      <c r="U1266" s="12">
        <v>11.747024090581561</v>
      </c>
    </row>
    <row r="1267" spans="1:21" x14ac:dyDescent="0.25">
      <c r="A1267" s="4">
        <v>64437</v>
      </c>
      <c r="B1267" s="10"/>
      <c r="C1267" s="9">
        <v>47.66735525715778</v>
      </c>
      <c r="D1267" s="5">
        <f t="shared" si="22"/>
        <v>6</v>
      </c>
      <c r="Q1267" s="4">
        <v>64437</v>
      </c>
      <c r="R1267" s="12">
        <v>17.16800959297515</v>
      </c>
      <c r="S1267" s="12">
        <v>16.118199853115421</v>
      </c>
      <c r="T1267" s="16">
        <v>0.79224963207306098</v>
      </c>
      <c r="U1267" s="12">
        <v>17.656813536509524</v>
      </c>
    </row>
    <row r="1268" spans="1:21" x14ac:dyDescent="0.25">
      <c r="A1268" s="4">
        <v>64467</v>
      </c>
      <c r="B1268" s="10"/>
      <c r="C1268" s="9">
        <v>39.192278717975874</v>
      </c>
      <c r="D1268" s="5">
        <f t="shared" si="22"/>
        <v>7</v>
      </c>
      <c r="Q1268" s="4">
        <v>64467</v>
      </c>
      <c r="R1268" s="12">
        <v>7.9657010569647326</v>
      </c>
      <c r="S1268" s="12">
        <v>4.7416069981072715</v>
      </c>
      <c r="T1268" s="16">
        <v>0.49499587257178562</v>
      </c>
      <c r="U1268" s="12">
        <v>5.6001701087321729</v>
      </c>
    </row>
    <row r="1269" spans="1:21" x14ac:dyDescent="0.25">
      <c r="A1269" s="4">
        <v>64498</v>
      </c>
      <c r="B1269" s="10"/>
      <c r="C1269" s="9">
        <v>19.904244588590103</v>
      </c>
      <c r="D1269" s="5">
        <f t="shared" si="22"/>
        <v>8</v>
      </c>
      <c r="Q1269" s="4">
        <v>64498</v>
      </c>
      <c r="R1269" s="12">
        <v>6.8415965301741259</v>
      </c>
      <c r="S1269" s="12">
        <v>4.4209245982491128</v>
      </c>
      <c r="T1269" s="16">
        <v>0.49720335202451238</v>
      </c>
      <c r="U1269" s="12">
        <v>5.2363636357352545</v>
      </c>
    </row>
    <row r="1270" spans="1:21" x14ac:dyDescent="0.25">
      <c r="A1270" s="4">
        <v>64529</v>
      </c>
      <c r="B1270" s="10"/>
      <c r="C1270" s="9">
        <v>40.63165422003857</v>
      </c>
      <c r="D1270" s="5">
        <f t="shared" si="22"/>
        <v>9</v>
      </c>
      <c r="Q1270" s="4">
        <v>64529</v>
      </c>
      <c r="R1270" s="12">
        <v>16.39047226402969</v>
      </c>
      <c r="S1270" s="12">
        <v>12.528707903231817</v>
      </c>
      <c r="T1270" s="16">
        <v>0.69399389350151686</v>
      </c>
      <c r="U1270" s="12">
        <v>12.06721249465599</v>
      </c>
    </row>
    <row r="1271" spans="1:21" x14ac:dyDescent="0.25">
      <c r="A1271" s="4">
        <v>64559</v>
      </c>
      <c r="B1271" s="10"/>
      <c r="C1271" s="9">
        <v>36.837950898529009</v>
      </c>
      <c r="D1271" s="5">
        <f t="shared" si="22"/>
        <v>10</v>
      </c>
      <c r="Q1271" s="4">
        <v>64559</v>
      </c>
      <c r="R1271" s="12">
        <v>45.738125153987468</v>
      </c>
      <c r="S1271" s="12">
        <v>46.044404891829736</v>
      </c>
      <c r="T1271" s="16">
        <v>0.80972296694542778</v>
      </c>
      <c r="U1271" s="12">
        <v>46.252907171511062</v>
      </c>
    </row>
    <row r="1272" spans="1:21" x14ac:dyDescent="0.25">
      <c r="A1272" s="4">
        <v>64590</v>
      </c>
      <c r="B1272" s="10"/>
      <c r="C1272" s="9">
        <v>18.688622098698843</v>
      </c>
      <c r="D1272" s="5">
        <f t="shared" si="22"/>
        <v>11</v>
      </c>
      <c r="Q1272" s="4">
        <v>64590</v>
      </c>
      <c r="R1272" s="12">
        <v>19.236750088877418</v>
      </c>
      <c r="S1272" s="12">
        <v>18.480956494565866</v>
      </c>
      <c r="T1272" s="16">
        <v>0.47150300773815079</v>
      </c>
      <c r="U1272" s="12">
        <v>18.414380083062362</v>
      </c>
    </row>
    <row r="1273" spans="1:21" x14ac:dyDescent="0.25">
      <c r="A1273" s="4">
        <v>64620</v>
      </c>
      <c r="B1273" s="10"/>
      <c r="C1273" s="9">
        <v>14.166793479131867</v>
      </c>
      <c r="D1273" s="5">
        <f t="shared" si="22"/>
        <v>12</v>
      </c>
      <c r="Q1273" s="4">
        <v>64620</v>
      </c>
      <c r="R1273" s="12">
        <v>25.816739571550393</v>
      </c>
      <c r="S1273" s="12">
        <v>27.506192896527146</v>
      </c>
      <c r="T1273" s="16">
        <v>0.64956560876910763</v>
      </c>
      <c r="U1273" s="12">
        <v>27.998624022230917</v>
      </c>
    </row>
    <row r="1274" spans="1:21" x14ac:dyDescent="0.25">
      <c r="A1274" s="4">
        <v>64651</v>
      </c>
      <c r="B1274" s="10"/>
      <c r="C1274" s="9">
        <v>37.626178680090533</v>
      </c>
      <c r="D1274" s="5">
        <f t="shared" si="22"/>
        <v>1</v>
      </c>
      <c r="Q1274" s="4">
        <v>64651</v>
      </c>
      <c r="R1274" s="12">
        <v>64.457431265798377</v>
      </c>
      <c r="S1274" s="12">
        <v>79.711424112970278</v>
      </c>
      <c r="T1274" s="16">
        <v>0.91186990450536887</v>
      </c>
      <c r="U1274" s="12">
        <v>82.032074419436157</v>
      </c>
    </row>
    <row r="1275" spans="1:21" x14ac:dyDescent="0.25">
      <c r="A1275" s="4">
        <v>64682</v>
      </c>
      <c r="B1275" s="10"/>
      <c r="C1275" s="9">
        <v>8.3191074755612764</v>
      </c>
      <c r="D1275" s="5">
        <f t="shared" si="22"/>
        <v>2</v>
      </c>
      <c r="Q1275" s="4">
        <v>64682</v>
      </c>
      <c r="R1275" s="12">
        <v>11.921348387240924</v>
      </c>
      <c r="S1275" s="12">
        <v>14.159808939547561</v>
      </c>
      <c r="T1275" s="16">
        <v>0.33734136440601548</v>
      </c>
      <c r="U1275" s="12">
        <v>13.712674689245324</v>
      </c>
    </row>
    <row r="1276" spans="1:21" x14ac:dyDescent="0.25">
      <c r="A1276" s="4">
        <v>64710</v>
      </c>
      <c r="B1276" s="10"/>
      <c r="C1276" s="9">
        <v>32.167393649227577</v>
      </c>
      <c r="D1276" s="5">
        <f t="shared" si="22"/>
        <v>3</v>
      </c>
      <c r="Q1276" s="4">
        <v>64710</v>
      </c>
      <c r="R1276" s="12">
        <v>36.384644624311342</v>
      </c>
      <c r="S1276" s="12">
        <v>37.355649323316158</v>
      </c>
      <c r="T1276" s="16">
        <v>0.79482396726437543</v>
      </c>
      <c r="U1276" s="12">
        <v>38.798610475362182</v>
      </c>
    </row>
    <row r="1277" spans="1:21" x14ac:dyDescent="0.25">
      <c r="A1277" s="4">
        <v>64741</v>
      </c>
      <c r="B1277" s="10"/>
      <c r="C1277" s="9">
        <v>2.3206138500607651</v>
      </c>
      <c r="D1277" s="5">
        <f t="shared" si="22"/>
        <v>4</v>
      </c>
      <c r="Q1277" s="4">
        <v>64741</v>
      </c>
      <c r="R1277" s="12">
        <v>1.8650307945749136</v>
      </c>
      <c r="S1277" s="12">
        <v>0.33947275383428399</v>
      </c>
      <c r="T1277" s="16">
        <v>1.8325941317106926E-2</v>
      </c>
      <c r="U1277" s="12">
        <v>0.27343721734784893</v>
      </c>
    </row>
    <row r="1278" spans="1:21" x14ac:dyDescent="0.25">
      <c r="A1278" s="4">
        <v>64771</v>
      </c>
      <c r="B1278" s="10"/>
      <c r="C1278" s="9">
        <v>28.901847946085368</v>
      </c>
      <c r="D1278" s="5">
        <f t="shared" si="22"/>
        <v>5</v>
      </c>
      <c r="Q1278" s="4">
        <v>64771</v>
      </c>
      <c r="R1278" s="12">
        <v>12.799050744504461</v>
      </c>
      <c r="S1278" s="12">
        <v>9.4138014283128122</v>
      </c>
      <c r="T1278" s="16">
        <v>0.4953396960745361</v>
      </c>
      <c r="U1278" s="12">
        <v>9.8587601814865824</v>
      </c>
    </row>
    <row r="1279" spans="1:21" x14ac:dyDescent="0.25">
      <c r="A1279" s="4">
        <v>64802</v>
      </c>
      <c r="B1279" s="10"/>
      <c r="C1279" s="9">
        <v>120.74478855477476</v>
      </c>
      <c r="D1279" s="5">
        <f t="shared" si="22"/>
        <v>6</v>
      </c>
      <c r="Q1279" s="4">
        <v>64802</v>
      </c>
      <c r="R1279" s="12">
        <v>43.487784816818696</v>
      </c>
      <c r="S1279" s="12">
        <v>84.003567852446196</v>
      </c>
      <c r="T1279" s="16">
        <v>0.98834348378367709</v>
      </c>
      <c r="U1279" s="12">
        <v>73.732600696969087</v>
      </c>
    </row>
    <row r="1280" spans="1:21" x14ac:dyDescent="0.25">
      <c r="A1280" s="4">
        <v>64832</v>
      </c>
      <c r="B1280" s="10"/>
      <c r="C1280" s="9">
        <v>79.475754640416952</v>
      </c>
      <c r="D1280" s="5">
        <f t="shared" si="22"/>
        <v>7</v>
      </c>
      <c r="Q1280" s="4">
        <v>64832</v>
      </c>
      <c r="R1280" s="12">
        <v>16.153184337604525</v>
      </c>
      <c r="S1280" s="12">
        <v>20.054332690861465</v>
      </c>
      <c r="T1280" s="16">
        <v>0.87424153496073165</v>
      </c>
      <c r="U1280" s="12">
        <v>20.297042377008033</v>
      </c>
    </row>
    <row r="1281" spans="1:21" x14ac:dyDescent="0.25">
      <c r="A1281" s="4">
        <v>64863</v>
      </c>
      <c r="B1281" s="10"/>
      <c r="C1281" s="9">
        <v>54.693333519028243</v>
      </c>
      <c r="D1281" s="5">
        <f t="shared" si="22"/>
        <v>8</v>
      </c>
      <c r="Q1281" s="4">
        <v>64863</v>
      </c>
      <c r="R1281" s="12">
        <v>18.799493704068535</v>
      </c>
      <c r="S1281" s="12">
        <v>21.546796761771127</v>
      </c>
      <c r="T1281" s="16">
        <v>0.88958659495519332</v>
      </c>
      <c r="U1281" s="12">
        <v>21.608677393142223</v>
      </c>
    </row>
    <row r="1282" spans="1:21" x14ac:dyDescent="0.25">
      <c r="A1282" s="4">
        <v>64894</v>
      </c>
      <c r="B1282" s="10"/>
      <c r="C1282" s="9">
        <v>15.624976471915486</v>
      </c>
      <c r="D1282" s="5">
        <f t="shared" si="22"/>
        <v>9</v>
      </c>
      <c r="Q1282" s="4">
        <v>64894</v>
      </c>
      <c r="R1282" s="12">
        <v>6.3029858962213865</v>
      </c>
      <c r="S1282" s="12">
        <v>2.7067460638838208</v>
      </c>
      <c r="T1282" s="16">
        <v>0.37925565069950673</v>
      </c>
      <c r="U1282" s="12">
        <v>1.5650333961546319</v>
      </c>
    </row>
    <row r="1283" spans="1:21" x14ac:dyDescent="0.25">
      <c r="A1283" s="4">
        <v>64924</v>
      </c>
      <c r="B1283" s="10"/>
      <c r="C1283" s="9">
        <v>33.149792744220456</v>
      </c>
      <c r="D1283" s="5">
        <f t="shared" ref="D1283:D1346" si="23">MONTH(A1283)</f>
        <v>10</v>
      </c>
      <c r="Q1283" s="4">
        <v>64924</v>
      </c>
      <c r="R1283" s="12">
        <v>41.158895442917952</v>
      </c>
      <c r="S1283" s="12">
        <v>41.196726440402671</v>
      </c>
      <c r="T1283" s="16">
        <v>0.77162735917878089</v>
      </c>
      <c r="U1283" s="12">
        <v>41.393767428282025</v>
      </c>
    </row>
    <row r="1284" spans="1:21" x14ac:dyDescent="0.25">
      <c r="A1284" s="4">
        <v>64955</v>
      </c>
      <c r="B1284" s="10"/>
      <c r="C1284" s="9">
        <v>1.8382828246090024</v>
      </c>
      <c r="D1284" s="5">
        <f t="shared" si="23"/>
        <v>11</v>
      </c>
      <c r="Q1284" s="4">
        <v>64955</v>
      </c>
      <c r="R1284" s="12">
        <v>1.8921987454677627</v>
      </c>
      <c r="S1284" s="12">
        <v>1.6696418222277101</v>
      </c>
      <c r="T1284" s="16">
        <v>9.1665266331370773E-2</v>
      </c>
      <c r="U1284" s="12">
        <v>1.574393244039584</v>
      </c>
    </row>
    <row r="1285" spans="1:21" x14ac:dyDescent="0.25">
      <c r="A1285" s="4">
        <v>64985</v>
      </c>
      <c r="B1285" s="10"/>
      <c r="C1285" s="9">
        <v>11.967297838495076</v>
      </c>
      <c r="D1285" s="5">
        <f t="shared" si="23"/>
        <v>12</v>
      </c>
      <c r="Q1285" s="4">
        <v>64985</v>
      </c>
      <c r="R1285" s="12">
        <v>21.808506782195145</v>
      </c>
      <c r="S1285" s="12">
        <v>23.884553930911348</v>
      </c>
      <c r="T1285" s="16">
        <v>0.59843453083169362</v>
      </c>
      <c r="U1285" s="12">
        <v>24.637155559082863</v>
      </c>
    </row>
    <row r="1286" spans="1:21" x14ac:dyDescent="0.25">
      <c r="A1286" s="4">
        <v>65016</v>
      </c>
      <c r="B1286" s="10"/>
      <c r="C1286" s="9">
        <v>3.0020287427812553</v>
      </c>
      <c r="D1286" s="5">
        <f t="shared" si="23"/>
        <v>1</v>
      </c>
      <c r="Q1286" s="4">
        <v>65016</v>
      </c>
      <c r="R1286" s="12">
        <v>5.1427773995067918</v>
      </c>
      <c r="S1286" s="12">
        <v>0.77072042087629644</v>
      </c>
      <c r="T1286" s="16">
        <v>0.15739344208365139</v>
      </c>
      <c r="U1286" s="12">
        <v>0.59017011801768759</v>
      </c>
    </row>
    <row r="1287" spans="1:21" x14ac:dyDescent="0.25">
      <c r="A1287" s="4">
        <v>65047</v>
      </c>
      <c r="B1287" s="10"/>
      <c r="C1287" s="9">
        <v>24.940914830417068</v>
      </c>
      <c r="D1287" s="5">
        <f t="shared" si="23"/>
        <v>2</v>
      </c>
      <c r="Q1287" s="4">
        <v>65047</v>
      </c>
      <c r="R1287" s="12">
        <v>35.740532943390711</v>
      </c>
      <c r="S1287" s="12">
        <v>36.811134823862666</v>
      </c>
      <c r="T1287" s="16">
        <v>0.70742527667612154</v>
      </c>
      <c r="U1287" s="12">
        <v>36.045270938019122</v>
      </c>
    </row>
    <row r="1288" spans="1:21" x14ac:dyDescent="0.25">
      <c r="A1288" s="4">
        <v>65075</v>
      </c>
      <c r="B1288" s="10"/>
      <c r="C1288" s="9">
        <v>30.041634776074172</v>
      </c>
      <c r="D1288" s="5">
        <f t="shared" si="23"/>
        <v>3</v>
      </c>
      <c r="Q1288" s="4">
        <v>65075</v>
      </c>
      <c r="R1288" s="12">
        <v>33.980191779916204</v>
      </c>
      <c r="S1288" s="12">
        <v>33.834923348251976</v>
      </c>
      <c r="T1288" s="16">
        <v>0.76485770965397848</v>
      </c>
      <c r="U1288" s="12">
        <v>35.155098366946937</v>
      </c>
    </row>
    <row r="1289" spans="1:21" x14ac:dyDescent="0.25">
      <c r="A1289" s="4">
        <v>65106</v>
      </c>
      <c r="B1289" s="10"/>
      <c r="C1289" s="9">
        <v>24.12100523429292</v>
      </c>
      <c r="D1289" s="5">
        <f t="shared" si="23"/>
        <v>4</v>
      </c>
      <c r="Q1289" s="4">
        <v>65106</v>
      </c>
      <c r="R1289" s="12">
        <v>19.385567985333282</v>
      </c>
      <c r="S1289" s="12">
        <v>14.826618021511619</v>
      </c>
      <c r="T1289" s="16">
        <v>0.56284848980632685</v>
      </c>
      <c r="U1289" s="12">
        <v>16.669367847434071</v>
      </c>
    </row>
    <row r="1290" spans="1:21" x14ac:dyDescent="0.25">
      <c r="A1290" s="4">
        <v>65136</v>
      </c>
      <c r="B1290" s="10"/>
      <c r="C1290" s="9">
        <v>37.612220507055319</v>
      </c>
      <c r="D1290" s="5">
        <f t="shared" si="23"/>
        <v>5</v>
      </c>
      <c r="Q1290" s="4">
        <v>65136</v>
      </c>
      <c r="R1290" s="12">
        <v>16.65639926489531</v>
      </c>
      <c r="S1290" s="12">
        <v>14.436243230091138</v>
      </c>
      <c r="T1290" s="16">
        <v>0.64258653384936659</v>
      </c>
      <c r="U1290" s="12">
        <v>15.301295628296158</v>
      </c>
    </row>
    <row r="1291" spans="1:21" x14ac:dyDescent="0.25">
      <c r="A1291" s="4">
        <v>65167</v>
      </c>
      <c r="B1291" s="10"/>
      <c r="C1291" s="9">
        <v>7.7313631977991468</v>
      </c>
      <c r="D1291" s="5">
        <f t="shared" si="23"/>
        <v>6</v>
      </c>
      <c r="Q1291" s="4">
        <v>65167</v>
      </c>
      <c r="R1291" s="12">
        <v>2.7845496531226068</v>
      </c>
      <c r="S1291" s="12">
        <v>0.63699515784913707</v>
      </c>
      <c r="T1291" s="16">
        <v>0.16181269424413508</v>
      </c>
      <c r="U1291" s="12">
        <v>0.37889912972897744</v>
      </c>
    </row>
    <row r="1292" spans="1:21" x14ac:dyDescent="0.25">
      <c r="A1292" s="4">
        <v>65197</v>
      </c>
      <c r="B1292" s="10"/>
      <c r="C1292" s="9">
        <v>124.69897789942016</v>
      </c>
      <c r="D1292" s="5">
        <f t="shared" si="23"/>
        <v>7</v>
      </c>
      <c r="Q1292" s="4">
        <v>65197</v>
      </c>
      <c r="R1292" s="12">
        <v>25.344654930723397</v>
      </c>
      <c r="S1292" s="12">
        <v>50.262851653544217</v>
      </c>
      <c r="T1292" s="16">
        <v>0.98003734871859227</v>
      </c>
      <c r="U1292" s="12">
        <v>41.097737968490073</v>
      </c>
    </row>
    <row r="1293" spans="1:21" x14ac:dyDescent="0.25">
      <c r="A1293" s="4">
        <v>65228</v>
      </c>
      <c r="B1293" s="10"/>
      <c r="C1293" s="9">
        <v>23.660729720117828</v>
      </c>
      <c r="D1293" s="5">
        <f t="shared" si="23"/>
        <v>8</v>
      </c>
      <c r="Q1293" s="4">
        <v>65228</v>
      </c>
      <c r="R1293" s="12">
        <v>8.132796280414496</v>
      </c>
      <c r="S1293" s="12">
        <v>5.7964606443481062</v>
      </c>
      <c r="T1293" s="16">
        <v>0.56943415648540674</v>
      </c>
      <c r="U1293" s="12">
        <v>6.7617170096706189</v>
      </c>
    </row>
    <row r="1294" spans="1:21" x14ac:dyDescent="0.25">
      <c r="A1294" s="4">
        <v>65259</v>
      </c>
      <c r="B1294" s="10"/>
      <c r="C1294" s="9">
        <v>4.4637157402601595</v>
      </c>
      <c r="D1294" s="5">
        <f t="shared" si="23"/>
        <v>9</v>
      </c>
      <c r="Q1294" s="4">
        <v>65259</v>
      </c>
      <c r="R1294" s="12">
        <v>1.800625902136294</v>
      </c>
      <c r="S1294" s="12">
        <v>0.36310580479315252</v>
      </c>
      <c r="T1294" s="16">
        <v>0.13652518618948645</v>
      </c>
      <c r="U1294" s="12">
        <v>6.482752969415824E-2</v>
      </c>
    </row>
    <row r="1295" spans="1:21" x14ac:dyDescent="0.25">
      <c r="A1295" s="4">
        <v>65289</v>
      </c>
      <c r="B1295" s="10"/>
      <c r="C1295" s="9">
        <v>72.654670404083291</v>
      </c>
      <c r="D1295" s="5">
        <f t="shared" si="23"/>
        <v>10</v>
      </c>
      <c r="Q1295" s="4">
        <v>65289</v>
      </c>
      <c r="R1295" s="12">
        <v>90.208285936348503</v>
      </c>
      <c r="S1295" s="12">
        <v>94.240483950010372</v>
      </c>
      <c r="T1295" s="16">
        <v>0.96905667469656609</v>
      </c>
      <c r="U1295" s="12">
        <v>94.024762717429581</v>
      </c>
    </row>
    <row r="1296" spans="1:21" x14ac:dyDescent="0.25">
      <c r="A1296" s="4">
        <v>65320</v>
      </c>
      <c r="B1296" s="10"/>
      <c r="C1296" s="9">
        <v>28.97837460358879</v>
      </c>
      <c r="D1296" s="5">
        <f t="shared" si="23"/>
        <v>11</v>
      </c>
      <c r="Q1296" s="4">
        <v>65320</v>
      </c>
      <c r="R1296" s="12">
        <v>29.828295916472143</v>
      </c>
      <c r="S1296" s="12">
        <v>29.121071486471152</v>
      </c>
      <c r="T1296" s="16">
        <v>0.60394524285564977</v>
      </c>
      <c r="U1296" s="12">
        <v>29.155529521692298</v>
      </c>
    </row>
    <row r="1297" spans="1:21" x14ac:dyDescent="0.25">
      <c r="A1297" s="4">
        <v>65350</v>
      </c>
      <c r="B1297" s="10"/>
      <c r="C1297" s="9">
        <v>17.208777488946723</v>
      </c>
      <c r="D1297" s="5">
        <f t="shared" si="23"/>
        <v>12</v>
      </c>
      <c r="Q1297" s="4">
        <v>65350</v>
      </c>
      <c r="R1297" s="12">
        <v>31.360274110816029</v>
      </c>
      <c r="S1297" s="12">
        <v>32.368155698323612</v>
      </c>
      <c r="T1297" s="16">
        <v>0.70854065126649435</v>
      </c>
      <c r="U1297" s="12">
        <v>32.509446386400271</v>
      </c>
    </row>
    <row r="1298" spans="1:21" x14ac:dyDescent="0.25">
      <c r="A1298" s="4">
        <v>65381</v>
      </c>
      <c r="B1298" s="10"/>
      <c r="C1298" s="9">
        <v>2.8568976215811528</v>
      </c>
      <c r="D1298" s="5">
        <f t="shared" si="23"/>
        <v>1</v>
      </c>
      <c r="Q1298" s="4">
        <v>65381</v>
      </c>
      <c r="R1298" s="12">
        <v>4.8941531810119745</v>
      </c>
      <c r="S1298" s="12">
        <v>0.7037430301783969</v>
      </c>
      <c r="T1298" s="16">
        <v>0.14995136816696597</v>
      </c>
      <c r="U1298" s="12">
        <v>0.52534249712992476</v>
      </c>
    </row>
    <row r="1299" spans="1:21" x14ac:dyDescent="0.25">
      <c r="A1299" s="4">
        <v>65412</v>
      </c>
      <c r="B1299" s="10"/>
      <c r="C1299" s="9">
        <v>65.914989654123275</v>
      </c>
      <c r="D1299" s="5">
        <f t="shared" si="23"/>
        <v>2</v>
      </c>
      <c r="Q1299" s="4">
        <v>65412</v>
      </c>
      <c r="R1299" s="12">
        <v>94.45671400647079</v>
      </c>
      <c r="S1299" s="12">
        <v>85.752717427067978</v>
      </c>
      <c r="T1299" s="16">
        <v>0.96085076844007899</v>
      </c>
      <c r="U1299" s="12">
        <v>87.399892709127059</v>
      </c>
    </row>
    <row r="1300" spans="1:21" x14ac:dyDescent="0.25">
      <c r="A1300" s="4">
        <v>65440</v>
      </c>
      <c r="B1300" s="10"/>
      <c r="C1300" s="9">
        <v>19.134599179801722</v>
      </c>
      <c r="D1300" s="5">
        <f t="shared" si="23"/>
        <v>3</v>
      </c>
      <c r="Q1300" s="4">
        <v>65440</v>
      </c>
      <c r="R1300" s="12">
        <v>21.6432079881126</v>
      </c>
      <c r="S1300" s="12">
        <v>17.60833090359348</v>
      </c>
      <c r="T1300" s="16">
        <v>0.54397807807050258</v>
      </c>
      <c r="U1300" s="12">
        <v>17.844090744115061</v>
      </c>
    </row>
    <row r="1301" spans="1:21" x14ac:dyDescent="0.25">
      <c r="A1301" s="4">
        <v>65471</v>
      </c>
      <c r="B1301" s="10"/>
      <c r="C1301" s="9">
        <v>5.3099871599948987</v>
      </c>
      <c r="D1301" s="5">
        <f t="shared" si="23"/>
        <v>4</v>
      </c>
      <c r="Q1301" s="4">
        <v>65471</v>
      </c>
      <c r="R1301" s="12">
        <v>4.2675301502352738</v>
      </c>
      <c r="S1301" s="12">
        <v>1.2903768866177534</v>
      </c>
      <c r="T1301" s="16">
        <v>7.4507705646583725E-2</v>
      </c>
      <c r="U1301" s="12">
        <v>1.3047053235548443</v>
      </c>
    </row>
    <row r="1302" spans="1:21" x14ac:dyDescent="0.25">
      <c r="A1302" s="4">
        <v>65501</v>
      </c>
      <c r="B1302" s="10"/>
      <c r="C1302" s="9">
        <v>6.7964457287604665</v>
      </c>
      <c r="D1302" s="5">
        <f t="shared" si="23"/>
        <v>5</v>
      </c>
      <c r="Q1302" s="4">
        <v>65501</v>
      </c>
      <c r="R1302" s="12">
        <v>3.0097748049518049</v>
      </c>
      <c r="S1302" s="12">
        <v>0.8982712870987043</v>
      </c>
      <c r="T1302" s="16">
        <v>5.1907680826554323E-2</v>
      </c>
      <c r="U1302" s="12">
        <v>0.59156822419008337</v>
      </c>
    </row>
    <row r="1303" spans="1:21" x14ac:dyDescent="0.25">
      <c r="A1303" s="4">
        <v>65532</v>
      </c>
      <c r="B1303" s="10"/>
      <c r="C1303" s="9">
        <v>8.5822607607959238</v>
      </c>
      <c r="D1303" s="5">
        <f t="shared" si="23"/>
        <v>6</v>
      </c>
      <c r="Q1303" s="4">
        <v>65532</v>
      </c>
      <c r="R1303" s="12">
        <v>3.0910113278968594</v>
      </c>
      <c r="S1303" s="12">
        <v>0.76679910952169261</v>
      </c>
      <c r="T1303" s="16">
        <v>0.18216917255981679</v>
      </c>
      <c r="U1303" s="12">
        <v>0.48974556848441908</v>
      </c>
    </row>
    <row r="1304" spans="1:21" x14ac:dyDescent="0.25">
      <c r="A1304" s="4">
        <v>65562</v>
      </c>
      <c r="B1304" s="10"/>
      <c r="C1304" s="9">
        <v>72.912824415706709</v>
      </c>
      <c r="D1304" s="5">
        <f t="shared" si="23"/>
        <v>7</v>
      </c>
      <c r="Q1304" s="4">
        <v>65562</v>
      </c>
      <c r="R1304" s="12">
        <v>14.819290470295854</v>
      </c>
      <c r="S1304" s="12">
        <v>16.821227182204936</v>
      </c>
      <c r="T1304" s="16">
        <v>0.83880879391668761</v>
      </c>
      <c r="U1304" s="12">
        <v>17.570212246917187</v>
      </c>
    </row>
    <row r="1305" spans="1:21" x14ac:dyDescent="0.25">
      <c r="A1305" s="4">
        <v>65593</v>
      </c>
      <c r="B1305" s="10"/>
      <c r="C1305" s="9">
        <v>7.4059498274873752</v>
      </c>
      <c r="D1305" s="5">
        <f t="shared" si="23"/>
        <v>8</v>
      </c>
      <c r="Q1305" s="4">
        <v>65593</v>
      </c>
      <c r="R1305" s="12">
        <v>2.545613847180439</v>
      </c>
      <c r="S1305" s="12">
        <v>0.93912493018998799</v>
      </c>
      <c r="T1305" s="16">
        <v>0.18801572961145835</v>
      </c>
      <c r="U1305" s="12">
        <v>1.0974211102182132</v>
      </c>
    </row>
    <row r="1306" spans="1:21" x14ac:dyDescent="0.25">
      <c r="A1306" s="4">
        <v>65624</v>
      </c>
      <c r="B1306" s="10"/>
      <c r="C1306" s="9">
        <v>6.0587521728130689</v>
      </c>
      <c r="D1306" s="5">
        <f t="shared" si="23"/>
        <v>9</v>
      </c>
      <c r="Q1306" s="4">
        <v>65624</v>
      </c>
      <c r="R1306" s="12">
        <v>2.4440503678569638</v>
      </c>
      <c r="S1306" s="12">
        <v>0.59261838081018114</v>
      </c>
      <c r="T1306" s="16">
        <v>0.1775033122138398</v>
      </c>
      <c r="U1306" s="12">
        <v>0.14611645195455156</v>
      </c>
    </row>
    <row r="1307" spans="1:21" x14ac:dyDescent="0.25">
      <c r="A1307" s="4">
        <v>65654</v>
      </c>
      <c r="B1307" s="10"/>
      <c r="C1307" s="9">
        <v>8.6800853096093764</v>
      </c>
      <c r="D1307" s="5">
        <f t="shared" si="23"/>
        <v>10</v>
      </c>
      <c r="Q1307" s="4">
        <v>65654</v>
      </c>
      <c r="R1307" s="12">
        <v>10.77722344903975</v>
      </c>
      <c r="S1307" s="12">
        <v>10.026654936001554</v>
      </c>
      <c r="T1307" s="16">
        <v>0.27608637522552559</v>
      </c>
      <c r="U1307" s="12">
        <v>9.9195065678776029</v>
      </c>
    </row>
    <row r="1308" spans="1:21" x14ac:dyDescent="0.25">
      <c r="A1308" s="4">
        <v>65685</v>
      </c>
      <c r="B1308" s="10"/>
      <c r="C1308" s="9">
        <v>44.188680962610825</v>
      </c>
      <c r="D1308" s="5">
        <f t="shared" si="23"/>
        <v>11</v>
      </c>
      <c r="Q1308" s="4">
        <v>65685</v>
      </c>
      <c r="R1308" s="12">
        <v>45.484712995189859</v>
      </c>
      <c r="S1308" s="12">
        <v>45.098728029392717</v>
      </c>
      <c r="T1308" s="16">
        <v>0.73669930010700768</v>
      </c>
      <c r="U1308" s="12">
        <v>45.257115503121817</v>
      </c>
    </row>
    <row r="1309" spans="1:21" x14ac:dyDescent="0.25">
      <c r="A1309" s="4">
        <v>65715</v>
      </c>
      <c r="B1309" s="10"/>
      <c r="C1309" s="9">
        <v>20.928693279030625</v>
      </c>
      <c r="D1309" s="5">
        <f t="shared" si="23"/>
        <v>12</v>
      </c>
      <c r="Q1309" s="4">
        <v>65715</v>
      </c>
      <c r="R1309" s="12">
        <v>38.139232053709627</v>
      </c>
      <c r="S1309" s="12">
        <v>38.127226274272523</v>
      </c>
      <c r="T1309" s="16">
        <v>0.76621491295238409</v>
      </c>
      <c r="U1309" s="12">
        <v>37.862693790182107</v>
      </c>
    </row>
    <row r="1310" spans="1:21" x14ac:dyDescent="0.25">
      <c r="A1310" s="4">
        <v>65746</v>
      </c>
      <c r="B1310" s="10"/>
      <c r="C1310" s="9">
        <v>27.52978782547865</v>
      </c>
      <c r="D1310" s="5">
        <f t="shared" si="23"/>
        <v>1</v>
      </c>
      <c r="Q1310" s="4">
        <v>65746</v>
      </c>
      <c r="R1310" s="12">
        <v>47.161297500076969</v>
      </c>
      <c r="S1310" s="12">
        <v>44.934201075995574</v>
      </c>
      <c r="T1310" s="16">
        <v>0.82766492843074579</v>
      </c>
      <c r="U1310" s="12">
        <v>50.447632500134823</v>
      </c>
    </row>
    <row r="1311" spans="1:21" x14ac:dyDescent="0.25">
      <c r="A1311" s="4">
        <v>65777</v>
      </c>
      <c r="B1311" s="10"/>
      <c r="C1311" s="9">
        <v>10.287200893459046</v>
      </c>
      <c r="D1311" s="5">
        <f t="shared" si="23"/>
        <v>2</v>
      </c>
      <c r="Q1311" s="4">
        <v>65777</v>
      </c>
      <c r="R1311" s="12">
        <v>14.741642194277247</v>
      </c>
      <c r="S1311" s="12">
        <v>17.033491692688038</v>
      </c>
      <c r="T1311" s="16">
        <v>0.39856258803511446</v>
      </c>
      <c r="U1311" s="12">
        <v>16.488357440803302</v>
      </c>
    </row>
    <row r="1312" spans="1:21" x14ac:dyDescent="0.25">
      <c r="A1312" s="4">
        <v>65806</v>
      </c>
      <c r="B1312" s="10"/>
      <c r="C1312" s="9">
        <v>49.327306352198541</v>
      </c>
      <c r="D1312" s="5">
        <f t="shared" si="23"/>
        <v>3</v>
      </c>
      <c r="Q1312" s="4">
        <v>65806</v>
      </c>
      <c r="R1312" s="12">
        <v>55.794278251771757</v>
      </c>
      <c r="S1312" s="12">
        <v>69.372533939786692</v>
      </c>
      <c r="T1312" s="16">
        <v>0.93531951519620171</v>
      </c>
      <c r="U1312" s="12">
        <v>70.239425299133217</v>
      </c>
    </row>
    <row r="1313" spans="1:21" x14ac:dyDescent="0.25">
      <c r="A1313" s="4">
        <v>65837</v>
      </c>
      <c r="B1313" s="10"/>
      <c r="C1313" s="9">
        <v>95.335496948049993</v>
      </c>
      <c r="D1313" s="5">
        <f t="shared" si="23"/>
        <v>4</v>
      </c>
      <c r="Q1313" s="4">
        <v>65837</v>
      </c>
      <c r="R1313" s="12">
        <v>76.619226253243369</v>
      </c>
      <c r="S1313" s="12">
        <v>136.10202310022638</v>
      </c>
      <c r="T1313" s="16">
        <v>0.99359237913625897</v>
      </c>
      <c r="U1313" s="12">
        <v>109.97884066918685</v>
      </c>
    </row>
    <row r="1314" spans="1:21" x14ac:dyDescent="0.25">
      <c r="A1314" s="4">
        <v>65867</v>
      </c>
      <c r="B1314" s="10"/>
      <c r="C1314" s="9">
        <v>10.246794457582597</v>
      </c>
      <c r="D1314" s="5">
        <f t="shared" si="23"/>
        <v>5</v>
      </c>
      <c r="Q1314" s="4">
        <v>65867</v>
      </c>
      <c r="R1314" s="12">
        <v>4.537745907312142</v>
      </c>
      <c r="S1314" s="12">
        <v>1.7491132047984397</v>
      </c>
      <c r="T1314" s="16">
        <v>0.10902647326774977</v>
      </c>
      <c r="U1314" s="12">
        <v>1.3995806269038975</v>
      </c>
    </row>
    <row r="1315" spans="1:21" x14ac:dyDescent="0.25">
      <c r="A1315" s="4">
        <v>65898</v>
      </c>
      <c r="B1315" s="10"/>
      <c r="C1315" s="9">
        <v>81.622755778052579</v>
      </c>
      <c r="D1315" s="5">
        <f t="shared" si="23"/>
        <v>6</v>
      </c>
      <c r="Q1315" s="4">
        <v>65898</v>
      </c>
      <c r="R1315" s="12">
        <v>29.397482756131172</v>
      </c>
      <c r="S1315" s="12">
        <v>41.901795626349298</v>
      </c>
      <c r="T1315" s="16">
        <v>0.94431380541501708</v>
      </c>
      <c r="U1315" s="12">
        <v>41.869588060085277</v>
      </c>
    </row>
    <row r="1316" spans="1:21" x14ac:dyDescent="0.25">
      <c r="A1316" s="4">
        <v>65928</v>
      </c>
      <c r="B1316" s="10"/>
      <c r="C1316" s="9">
        <v>107.5205991059392</v>
      </c>
      <c r="D1316" s="5">
        <f t="shared" si="23"/>
        <v>7</v>
      </c>
      <c r="Q1316" s="4">
        <v>65928</v>
      </c>
      <c r="R1316" s="12">
        <v>21.853206242657961</v>
      </c>
      <c r="S1316" s="12">
        <v>37.148722682728064</v>
      </c>
      <c r="T1316" s="16">
        <v>0.9589485233236309</v>
      </c>
      <c r="U1316" s="12">
        <v>32.858835934954548</v>
      </c>
    </row>
    <row r="1317" spans="1:21" x14ac:dyDescent="0.25">
      <c r="A1317" s="4">
        <v>65959</v>
      </c>
      <c r="B1317" s="10"/>
      <c r="C1317" s="9">
        <v>47.020866988384071</v>
      </c>
      <c r="D1317" s="5">
        <f t="shared" si="23"/>
        <v>8</v>
      </c>
      <c r="Q1317" s="4">
        <v>65959</v>
      </c>
      <c r="R1317" s="12">
        <v>16.162271268406609</v>
      </c>
      <c r="S1317" s="12">
        <v>17.002891378850968</v>
      </c>
      <c r="T1317" s="16">
        <v>0.8440581283538553</v>
      </c>
      <c r="U1317" s="12">
        <v>17.684663263054237</v>
      </c>
    </row>
    <row r="1318" spans="1:21" x14ac:dyDescent="0.25">
      <c r="A1318" s="4">
        <v>65990</v>
      </c>
      <c r="B1318" s="10"/>
      <c r="C1318" s="9">
        <v>43.902135869284841</v>
      </c>
      <c r="D1318" s="5">
        <f t="shared" si="23"/>
        <v>9</v>
      </c>
      <c r="Q1318" s="4">
        <v>65990</v>
      </c>
      <c r="R1318" s="12">
        <v>17.709757431985086</v>
      </c>
      <c r="S1318" s="12">
        <v>14.184447905007705</v>
      </c>
      <c r="T1318" s="16">
        <v>0.72066158194562235</v>
      </c>
      <c r="U1318" s="12">
        <v>13.976612824955552</v>
      </c>
    </row>
    <row r="1319" spans="1:21" x14ac:dyDescent="0.25">
      <c r="A1319" s="4">
        <v>66020</v>
      </c>
      <c r="B1319" s="10"/>
      <c r="C1319" s="9">
        <v>35.797892165298556</v>
      </c>
      <c r="D1319" s="5">
        <f t="shared" si="23"/>
        <v>10</v>
      </c>
      <c r="Q1319" s="4">
        <v>66020</v>
      </c>
      <c r="R1319" s="12">
        <v>44.446784692651129</v>
      </c>
      <c r="S1319" s="12">
        <v>44.674559054956141</v>
      </c>
      <c r="T1319" s="16">
        <v>0.79964834664765649</v>
      </c>
      <c r="U1319" s="12">
        <v>44.880924125026269</v>
      </c>
    </row>
    <row r="1320" spans="1:21" x14ac:dyDescent="0.25">
      <c r="A1320" s="4">
        <v>66051</v>
      </c>
      <c r="B1320" s="10"/>
      <c r="C1320" s="9">
        <v>73.803228938285017</v>
      </c>
      <c r="D1320" s="5">
        <f t="shared" si="23"/>
        <v>11</v>
      </c>
      <c r="Q1320" s="4">
        <v>66051</v>
      </c>
      <c r="R1320" s="12">
        <v>75.967840932309329</v>
      </c>
      <c r="S1320" s="12">
        <v>76.75349252134167</v>
      </c>
      <c r="T1320" s="16">
        <v>0.8773784020540194</v>
      </c>
      <c r="U1320" s="12">
        <v>76.996418445771027</v>
      </c>
    </row>
    <row r="1321" spans="1:21" x14ac:dyDescent="0.25">
      <c r="A1321" s="4">
        <v>66081</v>
      </c>
      <c r="B1321" s="10"/>
      <c r="C1321" s="9">
        <v>14.687529567621516</v>
      </c>
      <c r="D1321" s="5">
        <f t="shared" si="23"/>
        <v>12</v>
      </c>
      <c r="Q1321" s="4">
        <v>66081</v>
      </c>
      <c r="R1321" s="12">
        <v>26.765698699235006</v>
      </c>
      <c r="S1321" s="12">
        <v>28.349695365906186</v>
      </c>
      <c r="T1321" s="16">
        <v>0.66055081931422832</v>
      </c>
      <c r="U1321" s="12">
        <v>28.781078762824972</v>
      </c>
    </row>
    <row r="1322" spans="1:21" x14ac:dyDescent="0.25">
      <c r="A1322" s="4">
        <v>66112</v>
      </c>
      <c r="B1322" s="10"/>
      <c r="C1322" s="9">
        <v>6.7384612248614388</v>
      </c>
      <c r="D1322" s="5">
        <f t="shared" si="23"/>
        <v>1</v>
      </c>
      <c r="Q1322" s="4">
        <v>66112</v>
      </c>
      <c r="R1322" s="12">
        <v>11.543662324353493</v>
      </c>
      <c r="S1322" s="12">
        <v>3.397343283001689</v>
      </c>
      <c r="T1322" s="16">
        <v>0.3319412458370754</v>
      </c>
      <c r="U1322" s="12">
        <v>3.6223981269586183</v>
      </c>
    </row>
    <row r="1323" spans="1:21" x14ac:dyDescent="0.25">
      <c r="A1323" s="4">
        <v>66143</v>
      </c>
      <c r="B1323" s="10"/>
      <c r="C1323" s="9">
        <v>6.9830297971600421</v>
      </c>
      <c r="D1323" s="5">
        <f t="shared" si="23"/>
        <v>2</v>
      </c>
      <c r="Q1323" s="4">
        <v>66143</v>
      </c>
      <c r="R1323" s="12">
        <v>10.00673825347023</v>
      </c>
      <c r="S1323" s="12">
        <v>12.1589730343506</v>
      </c>
      <c r="T1323" s="16">
        <v>0.29223816364662997</v>
      </c>
      <c r="U1323" s="12">
        <v>11.789128832058054</v>
      </c>
    </row>
    <row r="1324" spans="1:21" x14ac:dyDescent="0.25">
      <c r="A1324" s="4">
        <v>66171</v>
      </c>
      <c r="B1324" s="10"/>
      <c r="C1324" s="9">
        <v>12.099789589802137</v>
      </c>
      <c r="D1324" s="5">
        <f t="shared" si="23"/>
        <v>3</v>
      </c>
      <c r="Q1324" s="4">
        <v>66171</v>
      </c>
      <c r="R1324" s="12">
        <v>13.686111751999656</v>
      </c>
      <c r="S1324" s="12">
        <v>9.0683577890378295</v>
      </c>
      <c r="T1324" s="16">
        <v>0.33523406932184713</v>
      </c>
      <c r="U1324" s="12">
        <v>8.5188068739433085</v>
      </c>
    </row>
    <row r="1325" spans="1:21" x14ac:dyDescent="0.25">
      <c r="A1325" s="4">
        <v>66202</v>
      </c>
      <c r="B1325" s="10"/>
      <c r="C1325" s="9">
        <v>9.7346772947003057E-2</v>
      </c>
      <c r="D1325" s="5">
        <f t="shared" si="23"/>
        <v>4</v>
      </c>
      <c r="Q1325" s="4">
        <v>66202</v>
      </c>
      <c r="R1325" s="12">
        <v>7.8235648422894155E-2</v>
      </c>
      <c r="S1325" s="12">
        <v>2.037257102530722E-3</v>
      </c>
      <c r="T1325" s="16">
        <v>5.5834233888596968E-5</v>
      </c>
      <c r="U1325" s="12">
        <v>4.7109226053827064E-4</v>
      </c>
    </row>
    <row r="1326" spans="1:21" x14ac:dyDescent="0.25">
      <c r="A1326" s="4">
        <v>66232</v>
      </c>
      <c r="B1326" s="10"/>
      <c r="C1326" s="9">
        <v>50.103033735844981</v>
      </c>
      <c r="D1326" s="5">
        <f t="shared" si="23"/>
        <v>5</v>
      </c>
      <c r="Q1326" s="4">
        <v>66232</v>
      </c>
      <c r="R1326" s="12">
        <v>22.187898588178555</v>
      </c>
      <c r="S1326" s="12">
        <v>22.992605336945594</v>
      </c>
      <c r="T1326" s="16">
        <v>0.79271193446072541</v>
      </c>
      <c r="U1326" s="12">
        <v>24.075676911755441</v>
      </c>
    </row>
    <row r="1327" spans="1:21" x14ac:dyDescent="0.25">
      <c r="A1327" s="4">
        <v>66263</v>
      </c>
      <c r="B1327" s="10"/>
      <c r="C1327" s="9">
        <v>149.57678386096177</v>
      </c>
      <c r="D1327" s="5">
        <f t="shared" si="23"/>
        <v>6</v>
      </c>
      <c r="Q1327" s="4">
        <v>66263</v>
      </c>
      <c r="R1327" s="12">
        <v>53.871997855927994</v>
      </c>
      <c r="S1327" s="12">
        <v>122.88025825676532</v>
      </c>
      <c r="T1327" s="16">
        <v>0.99638164090662285</v>
      </c>
      <c r="U1327" s="12">
        <v>98.655627820163375</v>
      </c>
    </row>
    <row r="1328" spans="1:21" x14ac:dyDescent="0.25">
      <c r="A1328" s="4">
        <v>66293</v>
      </c>
      <c r="B1328" s="10"/>
      <c r="C1328" s="9">
        <v>49.464647283697431</v>
      </c>
      <c r="D1328" s="5">
        <f t="shared" si="23"/>
        <v>7</v>
      </c>
      <c r="Q1328" s="4">
        <v>66293</v>
      </c>
      <c r="R1328" s="12">
        <v>10.053526001523748</v>
      </c>
      <c r="S1328" s="12">
        <v>7.6231782574274902</v>
      </c>
      <c r="T1328" s="16">
        <v>0.63257535634221473</v>
      </c>
      <c r="U1328" s="12">
        <v>8.79513720888351</v>
      </c>
    </row>
    <row r="1329" spans="1:21" x14ac:dyDescent="0.25">
      <c r="A1329" s="4">
        <v>66324</v>
      </c>
      <c r="B1329" s="10"/>
      <c r="C1329" s="9">
        <v>2.4222483345185446</v>
      </c>
      <c r="D1329" s="5">
        <f t="shared" si="23"/>
        <v>8</v>
      </c>
      <c r="Q1329" s="4">
        <v>66324</v>
      </c>
      <c r="R1329" s="12">
        <v>0.83258853290829626</v>
      </c>
      <c r="S1329" s="12">
        <v>0.16300065460796836</v>
      </c>
      <c r="T1329" s="16">
        <v>4.9997212098045522E-2</v>
      </c>
      <c r="U1329" s="12">
        <v>0.15966671181015568</v>
      </c>
    </row>
    <row r="1330" spans="1:21" x14ac:dyDescent="0.25">
      <c r="A1330" s="4">
        <v>66355</v>
      </c>
      <c r="B1330" s="10"/>
      <c r="C1330" s="9">
        <v>61.874701234976385</v>
      </c>
      <c r="D1330" s="5">
        <f t="shared" si="23"/>
        <v>9</v>
      </c>
      <c r="Q1330" s="4">
        <v>66355</v>
      </c>
      <c r="R1330" s="12">
        <v>24.959741214199607</v>
      </c>
      <c r="S1330" s="12">
        <v>24.589757386906744</v>
      </c>
      <c r="T1330" s="16">
        <v>0.83026401120387483</v>
      </c>
      <c r="U1330" s="12">
        <v>25.927706249086388</v>
      </c>
    </row>
    <row r="1331" spans="1:21" x14ac:dyDescent="0.25">
      <c r="A1331" s="4">
        <v>66385</v>
      </c>
      <c r="B1331" s="10"/>
      <c r="C1331" s="9">
        <v>18.045912640502333</v>
      </c>
      <c r="D1331" s="5">
        <f t="shared" si="23"/>
        <v>10</v>
      </c>
      <c r="Q1331" s="4">
        <v>66385</v>
      </c>
      <c r="R1331" s="12">
        <v>22.405866524518849</v>
      </c>
      <c r="S1331" s="12">
        <v>21.694624198387647</v>
      </c>
      <c r="T1331" s="16">
        <v>0.52650764305825537</v>
      </c>
      <c r="U1331" s="12">
        <v>21.736816133574823</v>
      </c>
    </row>
    <row r="1332" spans="1:21" x14ac:dyDescent="0.25">
      <c r="A1332" s="4">
        <v>66416</v>
      </c>
      <c r="B1332" s="10"/>
      <c r="C1332" s="9">
        <v>25.602402787028996</v>
      </c>
      <c r="D1332" s="5">
        <f t="shared" si="23"/>
        <v>11</v>
      </c>
      <c r="Q1332" s="4">
        <v>66416</v>
      </c>
      <c r="R1332" s="12">
        <v>26.35330852578721</v>
      </c>
      <c r="S1332" s="12">
        <v>25.611868901984867</v>
      </c>
      <c r="T1332" s="16">
        <v>0.56526852645575454</v>
      </c>
      <c r="U1332" s="12">
        <v>25.613593946050763</v>
      </c>
    </row>
    <row r="1333" spans="1:21" x14ac:dyDescent="0.25">
      <c r="A1333" s="4">
        <v>66446</v>
      </c>
      <c r="B1333" s="10"/>
      <c r="C1333" s="9">
        <v>3.0811344425520222</v>
      </c>
      <c r="D1333" s="5">
        <f t="shared" si="23"/>
        <v>12</v>
      </c>
      <c r="Q1333" s="4">
        <v>66446</v>
      </c>
      <c r="R1333" s="12">
        <v>5.6148800083428698</v>
      </c>
      <c r="S1333" s="12">
        <v>7.6741747319681073</v>
      </c>
      <c r="T1333" s="16">
        <v>0.26622457825179391</v>
      </c>
      <c r="U1333" s="12">
        <v>9.2473454135292332</v>
      </c>
    </row>
    <row r="1334" spans="1:21" x14ac:dyDescent="0.25">
      <c r="A1334" s="4">
        <v>66477</v>
      </c>
      <c r="B1334" s="10"/>
      <c r="C1334" s="9">
        <v>30.772129387621142</v>
      </c>
      <c r="D1334" s="5">
        <f t="shared" si="23"/>
        <v>1</v>
      </c>
      <c r="Q1334" s="4">
        <v>66477</v>
      </c>
      <c r="R1334" s="12">
        <v>52.715754947349637</v>
      </c>
      <c r="S1334" s="12">
        <v>55.117905503810185</v>
      </c>
      <c r="T1334" s="16">
        <v>0.86098806345337242</v>
      </c>
      <c r="U1334" s="12">
        <v>60.216231809130591</v>
      </c>
    </row>
    <row r="1335" spans="1:21" x14ac:dyDescent="0.25">
      <c r="A1335" s="4">
        <v>66508</v>
      </c>
      <c r="B1335" s="10"/>
      <c r="C1335" s="9">
        <v>12.48093302470272</v>
      </c>
      <c r="D1335" s="5">
        <f t="shared" si="23"/>
        <v>2</v>
      </c>
      <c r="Q1335" s="4">
        <v>66508</v>
      </c>
      <c r="R1335" s="12">
        <v>17.885278104940358</v>
      </c>
      <c r="S1335" s="12">
        <v>20.153626514149977</v>
      </c>
      <c r="T1335" s="16">
        <v>0.4601266107811996</v>
      </c>
      <c r="U1335" s="12">
        <v>19.520710804426823</v>
      </c>
    </row>
    <row r="1336" spans="1:21" x14ac:dyDescent="0.25">
      <c r="A1336" s="4">
        <v>66536</v>
      </c>
      <c r="B1336" s="10"/>
      <c r="C1336" s="9">
        <v>20.14707382494797</v>
      </c>
      <c r="D1336" s="5">
        <f t="shared" si="23"/>
        <v>3</v>
      </c>
      <c r="Q1336" s="4">
        <v>66536</v>
      </c>
      <c r="R1336" s="12">
        <v>22.788421385146918</v>
      </c>
      <c r="S1336" s="12">
        <v>18.973180711712189</v>
      </c>
      <c r="T1336" s="16">
        <v>0.56976574376169353</v>
      </c>
      <c r="U1336" s="12">
        <v>19.329873671212617</v>
      </c>
    </row>
    <row r="1337" spans="1:21" x14ac:dyDescent="0.25">
      <c r="A1337" s="4">
        <v>66567</v>
      </c>
      <c r="B1337" s="10"/>
      <c r="C1337" s="9">
        <v>44.335977163119885</v>
      </c>
      <c r="D1337" s="5">
        <f t="shared" si="23"/>
        <v>4</v>
      </c>
      <c r="Q1337" s="4">
        <v>66567</v>
      </c>
      <c r="R1337" s="12">
        <v>35.631935366852836</v>
      </c>
      <c r="S1337" s="12">
        <v>39.58178886872151</v>
      </c>
      <c r="T1337" s="16">
        <v>0.85264588754474369</v>
      </c>
      <c r="U1337" s="12">
        <v>40.277522283182201</v>
      </c>
    </row>
    <row r="1338" spans="1:21" x14ac:dyDescent="0.25">
      <c r="A1338" s="4">
        <v>66597</v>
      </c>
      <c r="B1338" s="10"/>
      <c r="C1338" s="9">
        <v>18.411298227960355</v>
      </c>
      <c r="D1338" s="5">
        <f t="shared" si="23"/>
        <v>5</v>
      </c>
      <c r="Q1338" s="4">
        <v>66597</v>
      </c>
      <c r="R1338" s="12">
        <v>8.1533589385514382</v>
      </c>
      <c r="S1338" s="12">
        <v>4.5278639241601955</v>
      </c>
      <c r="T1338" s="16">
        <v>0.2782478880952427</v>
      </c>
      <c r="U1338" s="12">
        <v>4.4026981401002248</v>
      </c>
    </row>
    <row r="1339" spans="1:21" x14ac:dyDescent="0.25">
      <c r="A1339" s="4">
        <v>66628</v>
      </c>
      <c r="B1339" s="10"/>
      <c r="C1339" s="9">
        <v>50.007058060917693</v>
      </c>
      <c r="D1339" s="5">
        <f t="shared" si="23"/>
        <v>6</v>
      </c>
      <c r="Q1339" s="4">
        <v>66628</v>
      </c>
      <c r="R1339" s="12">
        <v>18.010683577360496</v>
      </c>
      <c r="S1339" s="12">
        <v>17.550151742426564</v>
      </c>
      <c r="T1339" s="16">
        <v>0.80988652814465567</v>
      </c>
      <c r="U1339" s="12">
        <v>19.156557381479956</v>
      </c>
    </row>
    <row r="1340" spans="1:21" x14ac:dyDescent="0.25">
      <c r="A1340" s="4">
        <v>66658</v>
      </c>
      <c r="B1340" s="10"/>
      <c r="C1340" s="9">
        <v>77.231870119386329</v>
      </c>
      <c r="D1340" s="5">
        <f t="shared" si="23"/>
        <v>7</v>
      </c>
      <c r="Q1340" s="4">
        <v>66658</v>
      </c>
      <c r="R1340" s="12">
        <v>15.697122228292102</v>
      </c>
      <c r="S1340" s="12">
        <v>18.916343279157246</v>
      </c>
      <c r="T1340" s="16">
        <v>0.86300612754074835</v>
      </c>
      <c r="U1340" s="12">
        <v>19.353867849302247</v>
      </c>
    </row>
    <row r="1341" spans="1:21" x14ac:dyDescent="0.25">
      <c r="A1341" s="4">
        <v>66689</v>
      </c>
      <c r="B1341" s="10"/>
      <c r="C1341" s="9">
        <v>7.553047862279481</v>
      </c>
      <c r="D1341" s="5">
        <f t="shared" si="23"/>
        <v>8</v>
      </c>
      <c r="Q1341" s="4">
        <v>66689</v>
      </c>
      <c r="R1341" s="12">
        <v>2.5961751935279418</v>
      </c>
      <c r="S1341" s="12">
        <v>0.96851723913454135</v>
      </c>
      <c r="T1341" s="16">
        <v>0.1921532553522434</v>
      </c>
      <c r="U1341" s="12">
        <v>1.1337964359400727</v>
      </c>
    </row>
    <row r="1342" spans="1:21" x14ac:dyDescent="0.25">
      <c r="A1342" s="4">
        <v>66720</v>
      </c>
      <c r="B1342" s="10"/>
      <c r="C1342" s="9">
        <v>51.96637178883811</v>
      </c>
      <c r="D1342" s="5">
        <f t="shared" si="23"/>
        <v>9</v>
      </c>
      <c r="Q1342" s="4">
        <v>66720</v>
      </c>
      <c r="R1342" s="12">
        <v>20.962803307356889</v>
      </c>
      <c r="S1342" s="12">
        <v>18.588138356393568</v>
      </c>
      <c r="T1342" s="16">
        <v>0.77673564657514138</v>
      </c>
      <c r="U1342" s="12">
        <v>19.062395325836597</v>
      </c>
    </row>
    <row r="1343" spans="1:21" x14ac:dyDescent="0.25">
      <c r="A1343" s="4">
        <v>66750</v>
      </c>
      <c r="B1343" s="10"/>
      <c r="C1343" s="9">
        <v>93.376989912450014</v>
      </c>
      <c r="D1343" s="5">
        <f t="shared" si="23"/>
        <v>10</v>
      </c>
      <c r="Q1343" s="4">
        <v>66750</v>
      </c>
      <c r="R1343" s="12">
        <v>115.93718833282898</v>
      </c>
      <c r="S1343" s="12">
        <v>122.78894325510804</v>
      </c>
      <c r="T1343" s="16">
        <v>0.98940100370445661</v>
      </c>
      <c r="U1343" s="12">
        <v>121.9359252110367</v>
      </c>
    </row>
    <row r="1344" spans="1:21" x14ac:dyDescent="0.25">
      <c r="A1344" s="4">
        <v>66781</v>
      </c>
      <c r="B1344" s="10"/>
      <c r="C1344" s="9">
        <v>47.195505702127164</v>
      </c>
      <c r="D1344" s="5">
        <f t="shared" si="23"/>
        <v>11</v>
      </c>
      <c r="Q1344" s="4">
        <v>66781</v>
      </c>
      <c r="R1344" s="12">
        <v>48.579726408680457</v>
      </c>
      <c r="S1344" s="12">
        <v>48.283903973042065</v>
      </c>
      <c r="T1344" s="16">
        <v>0.75671494835917763</v>
      </c>
      <c r="U1344" s="12">
        <v>48.460835087610825</v>
      </c>
    </row>
    <row r="1345" spans="1:21" x14ac:dyDescent="0.25">
      <c r="A1345" s="4">
        <v>66811</v>
      </c>
      <c r="B1345" s="10"/>
      <c r="C1345" s="9">
        <v>1.4306257797859061</v>
      </c>
      <c r="D1345" s="5">
        <f t="shared" si="23"/>
        <v>12</v>
      </c>
      <c r="Q1345" s="4">
        <v>66811</v>
      </c>
      <c r="R1345" s="12">
        <v>2.6070891225656689</v>
      </c>
      <c r="S1345" s="12">
        <v>4.0386757509027786</v>
      </c>
      <c r="T1345" s="16">
        <v>0.15798291647440038</v>
      </c>
      <c r="U1345" s="12">
        <v>5.4744898617179194</v>
      </c>
    </row>
    <row r="1346" spans="1:21" x14ac:dyDescent="0.25">
      <c r="A1346" s="4">
        <v>66842</v>
      </c>
      <c r="B1346" s="10"/>
      <c r="C1346" s="9">
        <v>19.353326244646912</v>
      </c>
      <c r="D1346" s="5">
        <f t="shared" si="23"/>
        <v>1</v>
      </c>
      <c r="Q1346" s="4">
        <v>66842</v>
      </c>
      <c r="R1346" s="12">
        <v>33.15419582693319</v>
      </c>
      <c r="S1346" s="12">
        <v>23.538746433455739</v>
      </c>
      <c r="T1346" s="16">
        <v>0.70456205844213082</v>
      </c>
      <c r="U1346" s="12">
        <v>27.979258597740635</v>
      </c>
    </row>
    <row r="1347" spans="1:21" x14ac:dyDescent="0.25">
      <c r="A1347" s="4">
        <v>66873</v>
      </c>
      <c r="B1347" s="10"/>
      <c r="C1347" s="9">
        <v>43.208941166588112</v>
      </c>
      <c r="D1347" s="5">
        <f t="shared" ref="D1347:D1410" si="24">MONTH(A1347)</f>
        <v>2</v>
      </c>
      <c r="Q1347" s="4">
        <v>66873</v>
      </c>
      <c r="R1347" s="12">
        <v>61.918762632158398</v>
      </c>
      <c r="S1347" s="12">
        <v>59.381604548047505</v>
      </c>
      <c r="T1347" s="16">
        <v>0.88070143419988711</v>
      </c>
      <c r="U1347" s="12">
        <v>59.261988039533357</v>
      </c>
    </row>
    <row r="1348" spans="1:21" x14ac:dyDescent="0.25">
      <c r="A1348" s="4">
        <v>66901</v>
      </c>
      <c r="B1348" s="10"/>
      <c r="C1348" s="9">
        <v>25.785433826765825</v>
      </c>
      <c r="D1348" s="5">
        <f t="shared" si="24"/>
        <v>3</v>
      </c>
      <c r="Q1348" s="4">
        <v>66901</v>
      </c>
      <c r="R1348" s="12">
        <v>29.165988904826904</v>
      </c>
      <c r="S1348" s="12">
        <v>27.12059497087073</v>
      </c>
      <c r="T1348" s="16">
        <v>0.69297948290169609</v>
      </c>
      <c r="U1348" s="12">
        <v>28.092938982493344</v>
      </c>
    </row>
    <row r="1349" spans="1:21" x14ac:dyDescent="0.25">
      <c r="A1349" s="4">
        <v>66932</v>
      </c>
      <c r="B1349" s="10"/>
      <c r="C1349" s="9">
        <v>5.6661972472162869</v>
      </c>
      <c r="D1349" s="5">
        <f t="shared" si="24"/>
        <v>4</v>
      </c>
      <c r="Q1349" s="4">
        <v>66932</v>
      </c>
      <c r="R1349" s="12">
        <v>4.5538090509617817</v>
      </c>
      <c r="S1349" s="12">
        <v>1.43286239120558</v>
      </c>
      <c r="T1349" s="16">
        <v>8.2726951062612478E-2</v>
      </c>
      <c r="U1349" s="12">
        <v>1.4689403401820453</v>
      </c>
    </row>
    <row r="1350" spans="1:21" x14ac:dyDescent="0.25">
      <c r="A1350" s="4">
        <v>66962</v>
      </c>
      <c r="B1350" s="10"/>
      <c r="C1350" s="9">
        <v>49.127564646904688</v>
      </c>
      <c r="D1350" s="5">
        <f t="shared" si="24"/>
        <v>5</v>
      </c>
      <c r="Q1350" s="4">
        <v>66962</v>
      </c>
      <c r="R1350" s="12">
        <v>21.755916578158555</v>
      </c>
      <c r="S1350" s="12">
        <v>22.270440118794365</v>
      </c>
      <c r="T1350" s="16">
        <v>0.78333986713313897</v>
      </c>
      <c r="U1350" s="12">
        <v>23.357805738789505</v>
      </c>
    </row>
    <row r="1351" spans="1:21" x14ac:dyDescent="0.25">
      <c r="A1351" s="4">
        <v>66993</v>
      </c>
      <c r="B1351" s="10"/>
      <c r="C1351" s="9">
        <v>36.456118970205637</v>
      </c>
      <c r="D1351" s="5">
        <f t="shared" si="24"/>
        <v>6</v>
      </c>
      <c r="Q1351" s="4">
        <v>66993</v>
      </c>
      <c r="R1351" s="12">
        <v>13.13013899820152</v>
      </c>
      <c r="S1351" s="12">
        <v>10.010836377946596</v>
      </c>
      <c r="T1351" s="16">
        <v>0.68419702501199398</v>
      </c>
      <c r="U1351" s="12">
        <v>10.987442375423507</v>
      </c>
    </row>
    <row r="1352" spans="1:21" x14ac:dyDescent="0.25">
      <c r="A1352" s="4">
        <v>67023</v>
      </c>
      <c r="B1352" s="10"/>
      <c r="C1352" s="9">
        <v>29.10413423900302</v>
      </c>
      <c r="D1352" s="5">
        <f t="shared" si="24"/>
        <v>7</v>
      </c>
      <c r="Q1352" s="4">
        <v>67023</v>
      </c>
      <c r="R1352" s="12">
        <v>5.9153190488854319</v>
      </c>
      <c r="S1352" s="12">
        <v>2.583998539416632</v>
      </c>
      <c r="T1352" s="16">
        <v>0.3354648036650405</v>
      </c>
      <c r="U1352" s="12">
        <v>3.0141193832602085</v>
      </c>
    </row>
    <row r="1353" spans="1:21" x14ac:dyDescent="0.25">
      <c r="A1353" s="4">
        <v>67054</v>
      </c>
      <c r="B1353" s="10"/>
      <c r="C1353" s="9">
        <v>42.198434738857841</v>
      </c>
      <c r="D1353" s="5">
        <f t="shared" si="24"/>
        <v>8</v>
      </c>
      <c r="Q1353" s="4">
        <v>67054</v>
      </c>
      <c r="R1353" s="12">
        <v>14.504678306337031</v>
      </c>
      <c r="S1353" s="12">
        <v>14.351109424231952</v>
      </c>
      <c r="T1353" s="16">
        <v>0.80670608963263601</v>
      </c>
      <c r="U1353" s="12">
        <v>15.284423916198087</v>
      </c>
    </row>
    <row r="1354" spans="1:21" x14ac:dyDescent="0.25">
      <c r="A1354" s="4">
        <v>67085</v>
      </c>
      <c r="B1354" s="10"/>
      <c r="C1354" s="9">
        <v>10.327911359740183</v>
      </c>
      <c r="D1354" s="5">
        <f t="shared" si="24"/>
        <v>9</v>
      </c>
      <c r="Q1354" s="4">
        <v>67085</v>
      </c>
      <c r="R1354" s="12">
        <v>4.1661937702672729</v>
      </c>
      <c r="S1354" s="12">
        <v>1.3936567836651992</v>
      </c>
      <c r="T1354" s="16">
        <v>0.27570911721845748</v>
      </c>
      <c r="U1354" s="12">
        <v>0.57415878178866042</v>
      </c>
    </row>
    <row r="1355" spans="1:21" x14ac:dyDescent="0.25">
      <c r="A1355" s="4">
        <v>67115</v>
      </c>
      <c r="B1355" s="10"/>
      <c r="C1355" s="9">
        <v>3.1230036360380224</v>
      </c>
      <c r="D1355" s="5">
        <f t="shared" si="24"/>
        <v>10</v>
      </c>
      <c r="Q1355" s="4">
        <v>67115</v>
      </c>
      <c r="R1355" s="12">
        <v>3.8775319385956624</v>
      </c>
      <c r="S1355" s="12">
        <v>3.4118026815020044</v>
      </c>
      <c r="T1355" s="16">
        <v>9.2548365405552044E-2</v>
      </c>
      <c r="U1355" s="12">
        <v>3.2693450960515449</v>
      </c>
    </row>
    <row r="1356" spans="1:21" x14ac:dyDescent="0.25">
      <c r="A1356" s="4">
        <v>67146</v>
      </c>
      <c r="B1356" s="10"/>
      <c r="C1356" s="9">
        <v>4.2362595473023728</v>
      </c>
      <c r="D1356" s="5">
        <f t="shared" si="24"/>
        <v>11</v>
      </c>
      <c r="Q1356" s="4">
        <v>67146</v>
      </c>
      <c r="R1356" s="12">
        <v>4.3605069326513073</v>
      </c>
      <c r="S1356" s="12">
        <v>3.9672560759216249</v>
      </c>
      <c r="T1356" s="16">
        <v>0.17112167174966539</v>
      </c>
      <c r="U1356" s="12">
        <v>3.8326935369322661</v>
      </c>
    </row>
    <row r="1357" spans="1:21" x14ac:dyDescent="0.25">
      <c r="A1357" s="4">
        <v>67176</v>
      </c>
      <c r="B1357" s="10"/>
      <c r="C1357" s="9">
        <v>20.028000633360733</v>
      </c>
      <c r="D1357" s="5">
        <f t="shared" si="24"/>
        <v>12</v>
      </c>
      <c r="Q1357" s="4">
        <v>67176</v>
      </c>
      <c r="R1357" s="12">
        <v>36.497862219277962</v>
      </c>
      <c r="S1357" s="12">
        <v>36.749334592759062</v>
      </c>
      <c r="T1357" s="16">
        <v>0.75349547860802113</v>
      </c>
      <c r="U1357" s="12">
        <v>36.580307442388204</v>
      </c>
    </row>
    <row r="1358" spans="1:21" x14ac:dyDescent="0.25">
      <c r="A1358" s="4">
        <v>67207</v>
      </c>
      <c r="B1358" s="10"/>
      <c r="C1358" s="9">
        <v>9.8569183433120457</v>
      </c>
      <c r="D1358" s="5">
        <f t="shared" si="24"/>
        <v>1</v>
      </c>
      <c r="Q1358" s="4">
        <v>67207</v>
      </c>
      <c r="R1358" s="12">
        <v>16.885893250244212</v>
      </c>
      <c r="S1358" s="12">
        <v>6.8264309726590193</v>
      </c>
      <c r="T1358" s="16">
        <v>0.45230979120332943</v>
      </c>
      <c r="U1358" s="12">
        <v>7.9387871958505345</v>
      </c>
    </row>
    <row r="1359" spans="1:21" x14ac:dyDescent="0.25">
      <c r="A1359" s="4">
        <v>67238</v>
      </c>
      <c r="B1359" s="10"/>
      <c r="C1359" s="9">
        <v>3.1136554301018422</v>
      </c>
      <c r="D1359" s="5">
        <f t="shared" si="24"/>
        <v>2</v>
      </c>
      <c r="Q1359" s="4">
        <v>67238</v>
      </c>
      <c r="R1359" s="12">
        <v>4.4618934481988024</v>
      </c>
      <c r="S1359" s="12">
        <v>6.0210059783459293</v>
      </c>
      <c r="T1359" s="16">
        <v>0.14329086422493442</v>
      </c>
      <c r="U1359" s="12">
        <v>5.9207216223336259</v>
      </c>
    </row>
    <row r="1360" spans="1:21" x14ac:dyDescent="0.25">
      <c r="A1360" s="4">
        <v>67267</v>
      </c>
      <c r="B1360" s="10"/>
      <c r="C1360" s="9">
        <v>1.7376655914986703</v>
      </c>
      <c r="D1360" s="5">
        <f t="shared" si="24"/>
        <v>3</v>
      </c>
      <c r="Q1360" s="4">
        <v>67267</v>
      </c>
      <c r="R1360" s="12">
        <v>1.9654792586557928</v>
      </c>
      <c r="S1360" s="12">
        <v>0.54605100899055192</v>
      </c>
      <c r="T1360" s="16">
        <v>1.8674202647930571E-2</v>
      </c>
      <c r="U1360" s="12">
        <v>0.23128491142471821</v>
      </c>
    </row>
    <row r="1361" spans="1:21" x14ac:dyDescent="0.25">
      <c r="A1361" s="4">
        <v>67298</v>
      </c>
      <c r="B1361" s="10"/>
      <c r="C1361" s="9">
        <v>2.3473770514136545</v>
      </c>
      <c r="D1361" s="5">
        <f t="shared" si="24"/>
        <v>4</v>
      </c>
      <c r="Q1361" s="4">
        <v>67298</v>
      </c>
      <c r="R1361" s="12">
        <v>1.8865398425723823</v>
      </c>
      <c r="S1361" s="12">
        <v>0.34581064760617031</v>
      </c>
      <c r="T1361" s="16">
        <v>1.8697775320340452E-2</v>
      </c>
      <c r="U1361" s="12">
        <v>0.27957051963489543</v>
      </c>
    </row>
    <row r="1362" spans="1:21" x14ac:dyDescent="0.25">
      <c r="A1362" s="4">
        <v>67328</v>
      </c>
      <c r="B1362" s="10"/>
      <c r="C1362" s="9">
        <v>9.4328995891530081</v>
      </c>
      <c r="D1362" s="5">
        <f t="shared" si="24"/>
        <v>5</v>
      </c>
      <c r="Q1362" s="4">
        <v>67328</v>
      </c>
      <c r="R1362" s="12">
        <v>4.1773162994491946</v>
      </c>
      <c r="S1362" s="12">
        <v>1.5292511121233592</v>
      </c>
      <c r="T1362" s="16">
        <v>9.4312746894400404E-2</v>
      </c>
      <c r="U1362" s="12">
        <v>1.1806883818516589</v>
      </c>
    </row>
    <row r="1363" spans="1:21" x14ac:dyDescent="0.25">
      <c r="A1363" s="4">
        <v>67359</v>
      </c>
      <c r="B1363" s="10"/>
      <c r="C1363" s="9">
        <v>129.7545112265704</v>
      </c>
      <c r="D1363" s="5">
        <f t="shared" si="24"/>
        <v>6</v>
      </c>
      <c r="Q1363" s="4">
        <v>67359</v>
      </c>
      <c r="R1363" s="12">
        <v>46.732752036522086</v>
      </c>
      <c r="S1363" s="12">
        <v>95.458142080352786</v>
      </c>
      <c r="T1363" s="16">
        <v>0.9919027419656723</v>
      </c>
      <c r="U1363" s="12">
        <v>81.420075174084474</v>
      </c>
    </row>
    <row r="1364" spans="1:21" x14ac:dyDescent="0.25">
      <c r="A1364" s="4">
        <v>67389</v>
      </c>
      <c r="B1364" s="10"/>
      <c r="C1364" s="9">
        <v>7.7889699239170929</v>
      </c>
      <c r="D1364" s="5">
        <f t="shared" si="24"/>
        <v>7</v>
      </c>
      <c r="Q1364" s="4">
        <v>67389</v>
      </c>
      <c r="R1364" s="12">
        <v>1.5830823821722724</v>
      </c>
      <c r="S1364" s="12">
        <v>0.17561793991413827</v>
      </c>
      <c r="T1364" s="16">
        <v>2.9959772124272525E-2</v>
      </c>
      <c r="U1364" s="12">
        <v>0.1131228688493731</v>
      </c>
    </row>
    <row r="1365" spans="1:21" x14ac:dyDescent="0.25">
      <c r="A1365" s="4">
        <v>67420</v>
      </c>
      <c r="B1365" s="10"/>
      <c r="C1365" s="9">
        <v>10.662017639890779</v>
      </c>
      <c r="D1365" s="5">
        <f t="shared" si="24"/>
        <v>8</v>
      </c>
      <c r="Q1365" s="4">
        <v>67420</v>
      </c>
      <c r="R1365" s="12">
        <v>3.6648074015100853</v>
      </c>
      <c r="S1365" s="12">
        <v>1.6622846251397503</v>
      </c>
      <c r="T1365" s="16">
        <v>0.27772540824167591</v>
      </c>
      <c r="U1365" s="12">
        <v>1.9893002923922967</v>
      </c>
    </row>
    <row r="1366" spans="1:21" x14ac:dyDescent="0.25">
      <c r="A1366" s="4">
        <v>67451</v>
      </c>
      <c r="B1366" s="10"/>
      <c r="C1366" s="9">
        <v>23.731514528648781</v>
      </c>
      <c r="D1366" s="5">
        <f t="shared" si="24"/>
        <v>9</v>
      </c>
      <c r="Q1366" s="4">
        <v>67451</v>
      </c>
      <c r="R1366" s="12">
        <v>9.5730961028262627</v>
      </c>
      <c r="S1366" s="12">
        <v>5.2900967221613904</v>
      </c>
      <c r="T1366" s="16">
        <v>0.50777859627816269</v>
      </c>
      <c r="U1366" s="12">
        <v>4.0233079782977859</v>
      </c>
    </row>
    <row r="1367" spans="1:21" x14ac:dyDescent="0.25">
      <c r="A1367" s="4">
        <v>67481</v>
      </c>
      <c r="B1367" s="10"/>
      <c r="C1367" s="9">
        <v>56.100928170450771</v>
      </c>
      <c r="D1367" s="5">
        <f t="shared" si="24"/>
        <v>10</v>
      </c>
      <c r="Q1367" s="4">
        <v>67481</v>
      </c>
      <c r="R1367" s="12">
        <v>69.655103265187336</v>
      </c>
      <c r="S1367" s="12">
        <v>71.749292352492361</v>
      </c>
      <c r="T1367" s="16">
        <v>0.92781760870005237</v>
      </c>
      <c r="U1367" s="12">
        <v>71.845347595672379</v>
      </c>
    </row>
    <row r="1368" spans="1:21" x14ac:dyDescent="0.25">
      <c r="A1368" s="4">
        <v>67512</v>
      </c>
      <c r="B1368" s="10"/>
      <c r="C1368" s="9">
        <v>2.3499267244053961</v>
      </c>
      <c r="D1368" s="5">
        <f t="shared" si="24"/>
        <v>11</v>
      </c>
      <c r="Q1368" s="4">
        <v>67512</v>
      </c>
      <c r="R1368" s="12">
        <v>2.4188489063465104</v>
      </c>
      <c r="S1368" s="12">
        <v>2.1536554840246196</v>
      </c>
      <c r="T1368" s="16">
        <v>0.11035059986400247</v>
      </c>
      <c r="U1368" s="12">
        <v>2.0460317895060252</v>
      </c>
    </row>
    <row r="1369" spans="1:21" x14ac:dyDescent="0.25">
      <c r="A1369" s="4">
        <v>67542</v>
      </c>
      <c r="B1369" s="10"/>
      <c r="C1369" s="9">
        <v>10.74044127199023</v>
      </c>
      <c r="D1369" s="5">
        <f t="shared" si="24"/>
        <v>12</v>
      </c>
      <c r="Q1369" s="4">
        <v>67542</v>
      </c>
      <c r="R1369" s="12">
        <v>19.572754809403417</v>
      </c>
      <c r="S1369" s="12">
        <v>21.817832005999186</v>
      </c>
      <c r="T1369" s="16">
        <v>0.56614354764059582</v>
      </c>
      <c r="U1369" s="12">
        <v>22.715581335995171</v>
      </c>
    </row>
    <row r="1370" spans="1:21" x14ac:dyDescent="0.25">
      <c r="A1370" s="4">
        <v>67573</v>
      </c>
      <c r="B1370" s="10"/>
      <c r="C1370" s="9">
        <v>36.120818773773379</v>
      </c>
      <c r="D1370" s="5">
        <f t="shared" si="24"/>
        <v>1</v>
      </c>
      <c r="Q1370" s="4">
        <v>67573</v>
      </c>
      <c r="R1370" s="12">
        <v>61.878598227324822</v>
      </c>
      <c r="S1370" s="12">
        <v>73.958303819614841</v>
      </c>
      <c r="T1370" s="16">
        <v>0.90257707313548818</v>
      </c>
      <c r="U1370" s="12">
        <v>77.12253052193698</v>
      </c>
    </row>
    <row r="1371" spans="1:21" x14ac:dyDescent="0.25">
      <c r="A1371" s="4">
        <v>67604</v>
      </c>
      <c r="B1371" s="10"/>
      <c r="C1371" s="9">
        <v>8.8625570438235322</v>
      </c>
      <c r="D1371" s="5">
        <f t="shared" si="24"/>
        <v>2</v>
      </c>
      <c r="Q1371" s="4">
        <v>67604</v>
      </c>
      <c r="R1371" s="12">
        <v>12.7001160198484</v>
      </c>
      <c r="S1371" s="12">
        <v>14.961368266130977</v>
      </c>
      <c r="T1371" s="16">
        <v>0.35484775951515268</v>
      </c>
      <c r="U1371" s="12">
        <v>14.485301713411946</v>
      </c>
    </row>
    <row r="1372" spans="1:21" x14ac:dyDescent="0.25">
      <c r="A1372" s="4">
        <v>67632</v>
      </c>
      <c r="B1372" s="10"/>
      <c r="C1372" s="9">
        <v>56.184038757680966</v>
      </c>
      <c r="D1372" s="5">
        <f t="shared" si="24"/>
        <v>3</v>
      </c>
      <c r="Q1372" s="4">
        <v>67632</v>
      </c>
      <c r="R1372" s="12">
        <v>63.549950799506071</v>
      </c>
      <c r="S1372" s="12">
        <v>83.75874027267146</v>
      </c>
      <c r="T1372" s="16">
        <v>0.95999823958655883</v>
      </c>
      <c r="U1372" s="12">
        <v>83.527815175051956</v>
      </c>
    </row>
    <row r="1373" spans="1:21" x14ac:dyDescent="0.25">
      <c r="A1373" s="4">
        <v>67663</v>
      </c>
      <c r="B1373" s="10"/>
      <c r="C1373" s="9">
        <v>6.7939615924459767E-2</v>
      </c>
      <c r="D1373" s="5">
        <f t="shared" si="24"/>
        <v>4</v>
      </c>
      <c r="Q1373" s="4">
        <v>67663</v>
      </c>
      <c r="R1373" s="12">
        <v>5.4601706297405656E-2</v>
      </c>
      <c r="S1373" s="12">
        <v>1.1404454958285864E-3</v>
      </c>
      <c r="T1373" s="16">
        <v>2.8644675091832492E-5</v>
      </c>
      <c r="U1373" s="12">
        <v>2.2648499265857868E-4</v>
      </c>
    </row>
    <row r="1374" spans="1:21" x14ac:dyDescent="0.25">
      <c r="A1374" s="4">
        <v>67693</v>
      </c>
      <c r="B1374" s="10"/>
      <c r="C1374" s="9">
        <v>78.788950122134295</v>
      </c>
      <c r="D1374" s="5">
        <f t="shared" si="24"/>
        <v>5</v>
      </c>
      <c r="Q1374" s="4">
        <v>67693</v>
      </c>
      <c r="R1374" s="12">
        <v>34.891325032246407</v>
      </c>
      <c r="S1374" s="12">
        <v>47.939506899299381</v>
      </c>
      <c r="T1374" s="16">
        <v>0.94823549299036913</v>
      </c>
      <c r="U1374" s="12">
        <v>46.8869581484254</v>
      </c>
    </row>
    <row r="1375" spans="1:21" x14ac:dyDescent="0.25">
      <c r="A1375" s="4">
        <v>67724</v>
      </c>
      <c r="B1375" s="10"/>
      <c r="C1375" s="9">
        <v>46.623196156090756</v>
      </c>
      <c r="D1375" s="5">
        <f t="shared" si="24"/>
        <v>6</v>
      </c>
      <c r="Q1375" s="4">
        <v>67724</v>
      </c>
      <c r="R1375" s="12">
        <v>16.791942295618238</v>
      </c>
      <c r="S1375" s="12">
        <v>15.496395798760986</v>
      </c>
      <c r="T1375" s="16">
        <v>0.78388756489571665</v>
      </c>
      <c r="U1375" s="12">
        <v>16.998318230518642</v>
      </c>
    </row>
    <row r="1376" spans="1:21" x14ac:dyDescent="0.25">
      <c r="A1376" s="4">
        <v>67754</v>
      </c>
      <c r="B1376" s="10"/>
      <c r="C1376" s="9">
        <v>11.012790782012139</v>
      </c>
      <c r="D1376" s="5">
        <f t="shared" si="24"/>
        <v>7</v>
      </c>
      <c r="Q1376" s="4">
        <v>67754</v>
      </c>
      <c r="R1376" s="12">
        <v>2.2383133117536724</v>
      </c>
      <c r="S1376" s="12">
        <v>0.35594875206487236</v>
      </c>
      <c r="T1376" s="16">
        <v>6.1044554369808636E-2</v>
      </c>
      <c r="U1376" s="12">
        <v>0.28857698856645858</v>
      </c>
    </row>
    <row r="1377" spans="1:21" x14ac:dyDescent="0.25">
      <c r="A1377" s="4">
        <v>67785</v>
      </c>
      <c r="B1377" s="10"/>
      <c r="C1377" s="9">
        <v>24.806502157447763</v>
      </c>
      <c r="D1377" s="5">
        <f t="shared" si="24"/>
        <v>8</v>
      </c>
      <c r="Q1377" s="4">
        <v>67785</v>
      </c>
      <c r="R1377" s="12">
        <v>8.5266274904720341</v>
      </c>
      <c r="S1377" s="12">
        <v>6.242287834433947</v>
      </c>
      <c r="T1377" s="16">
        <v>0.5895893627561043</v>
      </c>
      <c r="U1377" s="12">
        <v>7.244498318428751</v>
      </c>
    </row>
    <row r="1378" spans="1:21" x14ac:dyDescent="0.25">
      <c r="A1378" s="4">
        <v>67816</v>
      </c>
      <c r="B1378" s="10"/>
      <c r="C1378" s="9">
        <v>14.439953299026898</v>
      </c>
      <c r="D1378" s="5">
        <f t="shared" si="24"/>
        <v>9</v>
      </c>
      <c r="Q1378" s="4">
        <v>67816</v>
      </c>
      <c r="R1378" s="12">
        <v>5.8249573783008959</v>
      </c>
      <c r="S1378" s="12">
        <v>2.3852139905530847</v>
      </c>
      <c r="T1378" s="16">
        <v>0.35760976723603088</v>
      </c>
      <c r="U1378" s="12">
        <v>1.2990810545965832</v>
      </c>
    </row>
    <row r="1379" spans="1:21" x14ac:dyDescent="0.25">
      <c r="A1379" s="4">
        <v>67846</v>
      </c>
      <c r="B1379" s="10"/>
      <c r="C1379" s="9">
        <v>13.946099968409005</v>
      </c>
      <c r="D1379" s="5">
        <f t="shared" si="24"/>
        <v>10</v>
      </c>
      <c r="Q1379" s="4">
        <v>67846</v>
      </c>
      <c r="R1379" s="12">
        <v>17.315525163767532</v>
      </c>
      <c r="S1379" s="12">
        <v>16.531783330003357</v>
      </c>
      <c r="T1379" s="16">
        <v>0.42747591372904531</v>
      </c>
      <c r="U1379" s="12">
        <v>16.508371146443398</v>
      </c>
    </row>
    <row r="1380" spans="1:21" x14ac:dyDescent="0.25">
      <c r="A1380" s="4">
        <v>67877</v>
      </c>
      <c r="B1380" s="10"/>
      <c r="C1380" s="9">
        <v>18.916960203055844</v>
      </c>
      <c r="D1380" s="5">
        <f t="shared" si="24"/>
        <v>11</v>
      </c>
      <c r="Q1380" s="4">
        <v>67877</v>
      </c>
      <c r="R1380" s="12">
        <v>19.471785236256714</v>
      </c>
      <c r="S1380" s="12">
        <v>18.715090461256349</v>
      </c>
      <c r="T1380" s="16">
        <v>0.4749636231715294</v>
      </c>
      <c r="U1380" s="12">
        <v>18.650720784802633</v>
      </c>
    </row>
    <row r="1381" spans="1:21" x14ac:dyDescent="0.25">
      <c r="A1381" s="4">
        <v>67907</v>
      </c>
      <c r="B1381" s="10"/>
      <c r="C1381" s="9">
        <v>34.004975651419748</v>
      </c>
      <c r="D1381" s="5">
        <f t="shared" si="24"/>
        <v>12</v>
      </c>
      <c r="Q1381" s="4">
        <v>67907</v>
      </c>
      <c r="R1381" s="12">
        <v>61.96868767959289</v>
      </c>
      <c r="S1381" s="12">
        <v>57.229863895449746</v>
      </c>
      <c r="T1381" s="16">
        <v>0.88943447779696427</v>
      </c>
      <c r="U1381" s="12">
        <v>55.799574052436796</v>
      </c>
    </row>
    <row r="1382" spans="1:21" x14ac:dyDescent="0.25">
      <c r="A1382" s="4">
        <v>67938</v>
      </c>
      <c r="B1382" s="10"/>
      <c r="C1382" s="9">
        <v>71.75291397784332</v>
      </c>
      <c r="D1382" s="5">
        <f t="shared" si="24"/>
        <v>1</v>
      </c>
      <c r="Q1382" s="4">
        <v>67938</v>
      </c>
      <c r="R1382" s="12">
        <v>122.91996378826666</v>
      </c>
      <c r="S1382" s="12">
        <v>260.53965822167311</v>
      </c>
      <c r="T1382" s="16">
        <v>0.99104523868306993</v>
      </c>
      <c r="U1382" s="12">
        <v>204.20724434045758</v>
      </c>
    </row>
    <row r="1383" spans="1:21" x14ac:dyDescent="0.25">
      <c r="A1383" s="4">
        <v>67969</v>
      </c>
      <c r="B1383" s="10"/>
      <c r="C1383" s="9">
        <v>25.012593891645089</v>
      </c>
      <c r="D1383" s="5">
        <f t="shared" si="24"/>
        <v>2</v>
      </c>
      <c r="Q1383" s="4">
        <v>67969</v>
      </c>
      <c r="R1383" s="12">
        <v>35.843249618644627</v>
      </c>
      <c r="S1383" s="12">
        <v>36.903174639232148</v>
      </c>
      <c r="T1383" s="16">
        <v>0.70845386250247733</v>
      </c>
      <c r="U1383" s="12">
        <v>36.138100171221708</v>
      </c>
    </row>
    <row r="1384" spans="1:21" x14ac:dyDescent="0.25">
      <c r="A1384" s="4">
        <v>67997</v>
      </c>
      <c r="B1384" s="10"/>
      <c r="C1384" s="9">
        <v>29.119754512272845</v>
      </c>
      <c r="D1384" s="5">
        <f t="shared" si="24"/>
        <v>3</v>
      </c>
      <c r="Q1384" s="4">
        <v>67997</v>
      </c>
      <c r="R1384" s="12">
        <v>32.937449985217427</v>
      </c>
      <c r="S1384" s="12">
        <v>32.341996132022913</v>
      </c>
      <c r="T1384" s="16">
        <v>0.75068861154489841</v>
      </c>
      <c r="U1384" s="12">
        <v>33.597773361623091</v>
      </c>
    </row>
    <row r="1385" spans="1:21" x14ac:dyDescent="0.25">
      <c r="A1385" s="4">
        <v>68028</v>
      </c>
      <c r="B1385" s="10"/>
      <c r="C1385" s="9">
        <v>7.8355056563756111</v>
      </c>
      <c r="D1385" s="5">
        <f t="shared" si="24"/>
        <v>4</v>
      </c>
      <c r="Q1385" s="4">
        <v>68028</v>
      </c>
      <c r="R1385" s="12">
        <v>6.2972386982107276</v>
      </c>
      <c r="S1385" s="12">
        <v>2.417107633864132</v>
      </c>
      <c r="T1385" s="16">
        <v>0.13716392849895881</v>
      </c>
      <c r="U1385" s="12">
        <v>2.6263109652870789</v>
      </c>
    </row>
    <row r="1386" spans="1:21" x14ac:dyDescent="0.25">
      <c r="A1386" s="4">
        <v>68058</v>
      </c>
      <c r="B1386" s="10"/>
      <c r="C1386" s="9">
        <v>29.113490195108742</v>
      </c>
      <c r="D1386" s="5">
        <f t="shared" si="24"/>
        <v>5</v>
      </c>
      <c r="Q1386" s="4">
        <v>68058</v>
      </c>
      <c r="R1386" s="12">
        <v>12.892775543347232</v>
      </c>
      <c r="S1386" s="12">
        <v>9.5259460200687922</v>
      </c>
      <c r="T1386" s="16">
        <v>0.49933366049831712</v>
      </c>
      <c r="U1386" s="12">
        <v>9.9826028539718283</v>
      </c>
    </row>
    <row r="1387" spans="1:21" x14ac:dyDescent="0.25">
      <c r="A1387" s="4">
        <v>68089</v>
      </c>
      <c r="B1387" s="10"/>
      <c r="C1387" s="9">
        <v>73.764623312089626</v>
      </c>
      <c r="D1387" s="5">
        <f t="shared" si="24"/>
        <v>6</v>
      </c>
      <c r="Q1387" s="4">
        <v>68089</v>
      </c>
      <c r="R1387" s="12">
        <v>26.567275524563328</v>
      </c>
      <c r="S1387" s="12">
        <v>35.006029147851343</v>
      </c>
      <c r="T1387" s="16">
        <v>0.92413526912873445</v>
      </c>
      <c r="U1387" s="12">
        <v>35.883265741973524</v>
      </c>
    </row>
    <row r="1388" spans="1:21" x14ac:dyDescent="0.25">
      <c r="A1388" s="4">
        <v>68119</v>
      </c>
      <c r="B1388" s="10"/>
      <c r="C1388" s="9">
        <v>22.246255306684635</v>
      </c>
      <c r="D1388" s="5">
        <f t="shared" si="24"/>
        <v>7</v>
      </c>
      <c r="Q1388" s="4">
        <v>68119</v>
      </c>
      <c r="R1388" s="12">
        <v>4.5214778320273465</v>
      </c>
      <c r="S1388" s="12">
        <v>1.4936687039582901</v>
      </c>
      <c r="T1388" s="16">
        <v>0.22177782822186098</v>
      </c>
      <c r="U1388" s="12">
        <v>1.6528082302106695</v>
      </c>
    </row>
    <row r="1389" spans="1:21" x14ac:dyDescent="0.25">
      <c r="A1389" s="4">
        <v>68150</v>
      </c>
      <c r="B1389" s="10"/>
      <c r="C1389" s="9">
        <v>36.00903266688259</v>
      </c>
      <c r="D1389" s="5">
        <f t="shared" si="24"/>
        <v>8</v>
      </c>
      <c r="Q1389" s="4">
        <v>68150</v>
      </c>
      <c r="R1389" s="12">
        <v>12.377222951223857</v>
      </c>
      <c r="S1389" s="12">
        <v>11.193009868776508</v>
      </c>
      <c r="T1389" s="16">
        <v>0.74618385336543114</v>
      </c>
      <c r="U1389" s="12">
        <v>12.296333120825217</v>
      </c>
    </row>
    <row r="1390" spans="1:21" x14ac:dyDescent="0.25">
      <c r="A1390" s="4">
        <v>68181</v>
      </c>
      <c r="B1390" s="10"/>
      <c r="C1390" s="9">
        <v>11.022426901220584</v>
      </c>
      <c r="D1390" s="5">
        <f t="shared" si="24"/>
        <v>9</v>
      </c>
      <c r="Q1390" s="4">
        <v>68181</v>
      </c>
      <c r="R1390" s="12">
        <v>4.4463555785442797</v>
      </c>
      <c r="S1390" s="12">
        <v>1.5469412452751183</v>
      </c>
      <c r="T1390" s="16">
        <v>0.29033660191591598</v>
      </c>
      <c r="U1390" s="12">
        <v>0.67481321021591689</v>
      </c>
    </row>
    <row r="1391" spans="1:21" x14ac:dyDescent="0.25">
      <c r="A1391" s="4">
        <v>68211</v>
      </c>
      <c r="B1391" s="10"/>
      <c r="C1391" s="9">
        <v>31.885508047579229</v>
      </c>
      <c r="D1391" s="5">
        <f t="shared" si="24"/>
        <v>10</v>
      </c>
      <c r="Q1391" s="4">
        <v>68211</v>
      </c>
      <c r="R1391" s="12">
        <v>39.589155262620451</v>
      </c>
      <c r="S1391" s="12">
        <v>39.541569310305164</v>
      </c>
      <c r="T1391" s="16">
        <v>0.75695963014680978</v>
      </c>
      <c r="U1391" s="12">
        <v>39.732195574775304</v>
      </c>
    </row>
    <row r="1392" spans="1:21" x14ac:dyDescent="0.25">
      <c r="A1392" s="4">
        <v>68242</v>
      </c>
      <c r="B1392" s="10"/>
      <c r="C1392" s="9">
        <v>7.1767014125227524</v>
      </c>
      <c r="D1392" s="5">
        <f t="shared" si="24"/>
        <v>11</v>
      </c>
      <c r="Q1392" s="4">
        <v>68242</v>
      </c>
      <c r="R1392" s="12">
        <v>7.3871904951625966</v>
      </c>
      <c r="S1392" s="12">
        <v>6.8521781776888346</v>
      </c>
      <c r="T1392" s="16">
        <v>0.25029487607342132</v>
      </c>
      <c r="U1392" s="12">
        <v>6.7074550764447665</v>
      </c>
    </row>
    <row r="1393" spans="1:21" x14ac:dyDescent="0.25">
      <c r="A1393" s="4">
        <v>68272</v>
      </c>
      <c r="B1393" s="10"/>
      <c r="C1393" s="9">
        <v>46.229972058922947</v>
      </c>
      <c r="D1393" s="5">
        <f t="shared" si="24"/>
        <v>12</v>
      </c>
      <c r="Q1393" s="4">
        <v>68272</v>
      </c>
      <c r="R1393" s="12">
        <v>84.246809329389791</v>
      </c>
      <c r="S1393" s="12">
        <v>73.999637702419022</v>
      </c>
      <c r="T1393" s="16">
        <v>0.9438956207541771</v>
      </c>
      <c r="U1393" s="12">
        <v>71.845539381872641</v>
      </c>
    </row>
    <row r="1394" spans="1:21" x14ac:dyDescent="0.25">
      <c r="A1394" s="4">
        <v>68303</v>
      </c>
      <c r="B1394" s="10"/>
      <c r="C1394" s="9">
        <v>33.323953415056366</v>
      </c>
      <c r="D1394" s="5">
        <f t="shared" si="24"/>
        <v>1</v>
      </c>
      <c r="Q1394" s="4">
        <v>68303</v>
      </c>
      <c r="R1394" s="12">
        <v>57.087286355024943</v>
      </c>
      <c r="S1394" s="12">
        <v>63.792696736924455</v>
      </c>
      <c r="T1394" s="16">
        <v>0.88265741874997417</v>
      </c>
      <c r="U1394" s="12">
        <v>68.170394559241601</v>
      </c>
    </row>
    <row r="1395" spans="1:21" x14ac:dyDescent="0.25">
      <c r="A1395" s="4">
        <v>68334</v>
      </c>
      <c r="B1395" s="10"/>
      <c r="C1395" s="9">
        <v>11.873450280696691</v>
      </c>
      <c r="D1395" s="5">
        <f t="shared" si="24"/>
        <v>2</v>
      </c>
      <c r="Q1395" s="4">
        <v>68334</v>
      </c>
      <c r="R1395" s="12">
        <v>17.014750412900369</v>
      </c>
      <c r="S1395" s="12">
        <v>19.297311474422909</v>
      </c>
      <c r="T1395" s="16">
        <v>0.44374176382541275</v>
      </c>
      <c r="U1395" s="12">
        <v>18.686510583268714</v>
      </c>
    </row>
    <row r="1396" spans="1:21" x14ac:dyDescent="0.25">
      <c r="A1396" s="4">
        <v>68362</v>
      </c>
      <c r="B1396" s="10"/>
      <c r="C1396" s="9">
        <v>17.089058847098897</v>
      </c>
      <c r="D1396" s="5">
        <f t="shared" si="24"/>
        <v>3</v>
      </c>
      <c r="Q1396" s="4">
        <v>68362</v>
      </c>
      <c r="R1396" s="12">
        <v>19.329490598333496</v>
      </c>
      <c r="S1396" s="12">
        <v>14.949449457207995</v>
      </c>
      <c r="T1396" s="16">
        <v>0.48843167901555357</v>
      </c>
      <c r="U1396" s="12">
        <v>14.939803437582887</v>
      </c>
    </row>
    <row r="1397" spans="1:21" x14ac:dyDescent="0.25">
      <c r="A1397" s="4">
        <v>68393</v>
      </c>
      <c r="B1397" s="10"/>
      <c r="C1397" s="9">
        <v>43.071518057630549</v>
      </c>
      <c r="D1397" s="5">
        <f t="shared" si="24"/>
        <v>4</v>
      </c>
      <c r="Q1397" s="4">
        <v>68393</v>
      </c>
      <c r="R1397" s="12">
        <v>34.615714951656869</v>
      </c>
      <c r="S1397" s="12">
        <v>37.776735454951513</v>
      </c>
      <c r="T1397" s="16">
        <v>0.84161506208938608</v>
      </c>
      <c r="U1397" s="12">
        <v>38.693089226986146</v>
      </c>
    </row>
    <row r="1398" spans="1:21" x14ac:dyDescent="0.25">
      <c r="A1398" s="4">
        <v>68423</v>
      </c>
      <c r="B1398" s="10"/>
      <c r="C1398" s="9">
        <v>29.665830471868812</v>
      </c>
      <c r="D1398" s="5">
        <f t="shared" si="24"/>
        <v>5</v>
      </c>
      <c r="Q1398" s="4">
        <v>68423</v>
      </c>
      <c r="R1398" s="12">
        <v>13.137376900453303</v>
      </c>
      <c r="S1398" s="12">
        <v>9.8210137709449121</v>
      </c>
      <c r="T1398" s="16">
        <v>0.50966456815396988</v>
      </c>
      <c r="U1398" s="12">
        <v>10.307983013824447</v>
      </c>
    </row>
    <row r="1399" spans="1:21" x14ac:dyDescent="0.25">
      <c r="A1399" s="4">
        <v>68454</v>
      </c>
      <c r="B1399" s="10"/>
      <c r="C1399" s="9">
        <v>32.680786765442917</v>
      </c>
      <c r="D1399" s="5">
        <f t="shared" si="24"/>
        <v>6</v>
      </c>
      <c r="Q1399" s="4">
        <v>68454</v>
      </c>
      <c r="R1399" s="12">
        <v>11.770404665168607</v>
      </c>
      <c r="S1399" s="12">
        <v>8.2439886226398418</v>
      </c>
      <c r="T1399" s="16">
        <v>0.63742403571434048</v>
      </c>
      <c r="U1399" s="12">
        <v>8.972745295567071</v>
      </c>
    </row>
    <row r="1400" spans="1:21" x14ac:dyDescent="0.25">
      <c r="A1400" s="4">
        <v>68484</v>
      </c>
      <c r="B1400" s="10"/>
      <c r="C1400" s="9">
        <v>90.203296477644628</v>
      </c>
      <c r="D1400" s="5">
        <f t="shared" si="24"/>
        <v>7</v>
      </c>
      <c r="Q1400" s="4">
        <v>68484</v>
      </c>
      <c r="R1400" s="12">
        <v>18.333521744529641</v>
      </c>
      <c r="S1400" s="12">
        <v>25.963977511794038</v>
      </c>
      <c r="T1400" s="16">
        <v>0.91721721817466262</v>
      </c>
      <c r="U1400" s="12">
        <v>24.945909413960056</v>
      </c>
    </row>
    <row r="1401" spans="1:21" x14ac:dyDescent="0.25">
      <c r="A1401" s="4">
        <v>68515</v>
      </c>
      <c r="B1401" s="10"/>
      <c r="C1401" s="9">
        <v>16.638895290586984</v>
      </c>
      <c r="D1401" s="5">
        <f t="shared" si="24"/>
        <v>8</v>
      </c>
      <c r="Q1401" s="4">
        <v>68515</v>
      </c>
      <c r="R1401" s="12">
        <v>5.7192126925161544</v>
      </c>
      <c r="S1401" s="12">
        <v>3.3386571395893636</v>
      </c>
      <c r="T1401" s="16">
        <v>0.42643273903992862</v>
      </c>
      <c r="U1401" s="12">
        <v>3.9942799662870669</v>
      </c>
    </row>
    <row r="1402" spans="1:21" x14ac:dyDescent="0.25">
      <c r="A1402" s="4">
        <v>68546</v>
      </c>
      <c r="B1402" s="10"/>
      <c r="C1402" s="9">
        <v>17.528248416286374</v>
      </c>
      <c r="D1402" s="5">
        <f t="shared" si="24"/>
        <v>9</v>
      </c>
      <c r="Q1402" s="4">
        <v>68546</v>
      </c>
      <c r="R1402" s="12">
        <v>7.0707500105293883</v>
      </c>
      <c r="S1402" s="12">
        <v>3.2545048042219094</v>
      </c>
      <c r="T1402" s="16">
        <v>0.41237233414411517</v>
      </c>
      <c r="U1402" s="12">
        <v>2.0440601628571651</v>
      </c>
    </row>
    <row r="1403" spans="1:21" x14ac:dyDescent="0.25">
      <c r="A1403" s="4">
        <v>68576</v>
      </c>
      <c r="B1403" s="10"/>
      <c r="C1403" s="9">
        <v>93.857760445249951</v>
      </c>
      <c r="D1403" s="5">
        <f t="shared" si="24"/>
        <v>10</v>
      </c>
      <c r="Q1403" s="4">
        <v>68576</v>
      </c>
      <c r="R1403" s="12">
        <v>116.53411466187816</v>
      </c>
      <c r="S1403" s="12">
        <v>123.45573187988832</v>
      </c>
      <c r="T1403" s="16">
        <v>0.98966235044433171</v>
      </c>
      <c r="U1403" s="12">
        <v>122.58493618358507</v>
      </c>
    </row>
    <row r="1404" spans="1:21" x14ac:dyDescent="0.25">
      <c r="A1404" s="4">
        <v>68607</v>
      </c>
      <c r="B1404" s="10"/>
      <c r="C1404" s="9">
        <v>17.095156690240152</v>
      </c>
      <c r="D1404" s="5">
        <f t="shared" si="24"/>
        <v>11</v>
      </c>
      <c r="Q1404" s="4">
        <v>68607</v>
      </c>
      <c r="R1404" s="12">
        <v>17.596549132600124</v>
      </c>
      <c r="S1404" s="12">
        <v>16.85003600361777</v>
      </c>
      <c r="T1404" s="16">
        <v>0.44655610982214239</v>
      </c>
      <c r="U1404" s="12">
        <v>16.768330535450009</v>
      </c>
    </row>
    <row r="1405" spans="1:21" x14ac:dyDescent="0.25">
      <c r="A1405" s="4">
        <v>68637</v>
      </c>
      <c r="B1405" s="10"/>
      <c r="C1405" s="9">
        <v>64.105120893094096</v>
      </c>
      <c r="D1405" s="5">
        <f t="shared" si="24"/>
        <v>12</v>
      </c>
      <c r="Q1405" s="4">
        <v>68637</v>
      </c>
      <c r="R1405" s="12">
        <v>116.82143978011746</v>
      </c>
      <c r="S1405" s="12">
        <v>97.279747918579204</v>
      </c>
      <c r="T1405" s="16">
        <v>0.97876127459994133</v>
      </c>
      <c r="U1405" s="12">
        <v>94.62154794953446</v>
      </c>
    </row>
    <row r="1406" spans="1:21" x14ac:dyDescent="0.25">
      <c r="A1406" s="4">
        <v>68668</v>
      </c>
      <c r="B1406" s="10"/>
      <c r="C1406" s="9">
        <v>8.3234912134416632</v>
      </c>
      <c r="D1406" s="5">
        <f t="shared" si="24"/>
        <v>1</v>
      </c>
      <c r="Q1406" s="4">
        <v>68668</v>
      </c>
      <c r="R1406" s="12">
        <v>14.258978232774442</v>
      </c>
      <c r="S1406" s="12">
        <v>5.0056715428479333</v>
      </c>
      <c r="T1406" s="16">
        <v>0.39587377524701201</v>
      </c>
      <c r="U1406" s="12">
        <v>5.6361501317020837</v>
      </c>
    </row>
    <row r="1407" spans="1:21" x14ac:dyDescent="0.25">
      <c r="A1407" s="4">
        <v>68699</v>
      </c>
      <c r="B1407" s="10"/>
      <c r="C1407" s="9">
        <v>10.977276451164624</v>
      </c>
      <c r="D1407" s="5">
        <f t="shared" si="24"/>
        <v>2</v>
      </c>
      <c r="Q1407" s="4">
        <v>68699</v>
      </c>
      <c r="R1407" s="12">
        <v>15.73052605725111</v>
      </c>
      <c r="S1407" s="12">
        <v>18.023528911183199</v>
      </c>
      <c r="T1407" s="16">
        <v>0.41865366076385802</v>
      </c>
      <c r="U1407" s="12">
        <v>17.448399188879282</v>
      </c>
    </row>
    <row r="1408" spans="1:21" x14ac:dyDescent="0.25">
      <c r="A1408" s="4">
        <v>68728</v>
      </c>
      <c r="B1408" s="10"/>
      <c r="C1408" s="9">
        <v>17.484926236854733</v>
      </c>
      <c r="D1408" s="5">
        <f t="shared" si="24"/>
        <v>3</v>
      </c>
      <c r="Q1408" s="4">
        <v>68728</v>
      </c>
      <c r="R1408" s="12">
        <v>19.777257503283398</v>
      </c>
      <c r="S1408" s="12">
        <v>15.453447582874148</v>
      </c>
      <c r="T1408" s="16">
        <v>0.49953717994532837</v>
      </c>
      <c r="U1408" s="12">
        <v>15.491067914911014</v>
      </c>
    </row>
    <row r="1409" spans="1:21" x14ac:dyDescent="0.25">
      <c r="A1409" s="4">
        <v>68759</v>
      </c>
      <c r="B1409" s="10"/>
      <c r="C1409" s="9">
        <v>3.4202470272202241</v>
      </c>
      <c r="D1409" s="5">
        <f t="shared" si="24"/>
        <v>4</v>
      </c>
      <c r="Q1409" s="4">
        <v>68759</v>
      </c>
      <c r="R1409" s="12">
        <v>2.7487839179499813</v>
      </c>
      <c r="S1409" s="12">
        <v>0.63466883520300477</v>
      </c>
      <c r="T1409" s="16">
        <v>3.5837581412245141E-2</v>
      </c>
      <c r="U1409" s="12">
        <v>0.57474647866633211</v>
      </c>
    </row>
    <row r="1410" spans="1:21" x14ac:dyDescent="0.25">
      <c r="A1410" s="4">
        <v>68789</v>
      </c>
      <c r="B1410" s="10"/>
      <c r="C1410" s="9">
        <v>34.352260335740382</v>
      </c>
      <c r="D1410" s="5">
        <f t="shared" si="24"/>
        <v>5</v>
      </c>
      <c r="Q1410" s="4">
        <v>68789</v>
      </c>
      <c r="R1410" s="12">
        <v>15.212740861614051</v>
      </c>
      <c r="S1410" s="12">
        <v>12.460814927027377</v>
      </c>
      <c r="T1410" s="16">
        <v>0.59168683737477146</v>
      </c>
      <c r="U1410" s="12">
        <v>13.186797407415124</v>
      </c>
    </row>
    <row r="1411" spans="1:21" x14ac:dyDescent="0.25">
      <c r="A1411" s="4">
        <v>68820</v>
      </c>
      <c r="B1411" s="10"/>
      <c r="C1411" s="9">
        <v>20.123034992190568</v>
      </c>
      <c r="D1411" s="5">
        <f t="shared" ref="D1411:D1474" si="25">MONTH(A1411)</f>
        <v>6</v>
      </c>
      <c r="Q1411" s="4">
        <v>68820</v>
      </c>
      <c r="R1411" s="12">
        <v>7.2475692415057109</v>
      </c>
      <c r="S1411" s="12">
        <v>3.483850507176812</v>
      </c>
      <c r="T1411" s="16">
        <v>0.43496410260329194</v>
      </c>
      <c r="U1411" s="12">
        <v>3.4193248342831977</v>
      </c>
    </row>
    <row r="1412" spans="1:21" x14ac:dyDescent="0.25">
      <c r="A1412" s="4">
        <v>68850</v>
      </c>
      <c r="B1412" s="10"/>
      <c r="C1412" s="9">
        <v>7.9358334743255758</v>
      </c>
      <c r="D1412" s="5">
        <f t="shared" si="25"/>
        <v>7</v>
      </c>
      <c r="Q1412" s="4">
        <v>68850</v>
      </c>
      <c r="R1412" s="12">
        <v>1.6129319131764972</v>
      </c>
      <c r="S1412" s="12">
        <v>0.18243856483812254</v>
      </c>
      <c r="T1412" s="16">
        <v>3.1161077978688216E-2</v>
      </c>
      <c r="U1412" s="12">
        <v>0.11910798460649831</v>
      </c>
    </row>
    <row r="1413" spans="1:21" x14ac:dyDescent="0.25">
      <c r="A1413" s="4">
        <v>68881</v>
      </c>
      <c r="B1413" s="10"/>
      <c r="C1413" s="9">
        <v>8.1397821733317866</v>
      </c>
      <c r="D1413" s="5">
        <f t="shared" si="25"/>
        <v>8</v>
      </c>
      <c r="Q1413" s="4">
        <v>68881</v>
      </c>
      <c r="R1413" s="12">
        <v>2.7978507411109259</v>
      </c>
      <c r="S1413" s="12">
        <v>1.0889755800513563</v>
      </c>
      <c r="T1413" s="16">
        <v>0.20859801325931998</v>
      </c>
      <c r="U1413" s="12">
        <v>1.2828740188239534</v>
      </c>
    </row>
    <row r="1414" spans="1:21" x14ac:dyDescent="0.25">
      <c r="A1414" s="4">
        <v>68912</v>
      </c>
      <c r="B1414" s="10"/>
      <c r="C1414" s="9">
        <v>37.290399357272584</v>
      </c>
      <c r="D1414" s="5">
        <f t="shared" si="25"/>
        <v>9</v>
      </c>
      <c r="Q1414" s="4">
        <v>68912</v>
      </c>
      <c r="R1414" s="12">
        <v>15.042637768819512</v>
      </c>
      <c r="S1414" s="12">
        <v>10.918270049858453</v>
      </c>
      <c r="T1414" s="16">
        <v>0.66404470114341851</v>
      </c>
      <c r="U1414" s="12">
        <v>10.220220400320052</v>
      </c>
    </row>
    <row r="1415" spans="1:21" x14ac:dyDescent="0.25">
      <c r="A1415" s="4">
        <v>68942</v>
      </c>
      <c r="B1415" s="10"/>
      <c r="C1415" s="9">
        <v>25.810194228558913</v>
      </c>
      <c r="D1415" s="5">
        <f t="shared" si="25"/>
        <v>10</v>
      </c>
      <c r="Q1415" s="4">
        <v>68942</v>
      </c>
      <c r="R1415" s="12">
        <v>32.046024957422162</v>
      </c>
      <c r="S1415" s="12">
        <v>31.640503663594259</v>
      </c>
      <c r="T1415" s="16">
        <v>0.67308095386916511</v>
      </c>
      <c r="U1415" s="12">
        <v>31.782889948061712</v>
      </c>
    </row>
    <row r="1416" spans="1:21" x14ac:dyDescent="0.25">
      <c r="A1416" s="4">
        <v>68973</v>
      </c>
      <c r="B1416" s="10"/>
      <c r="C1416" s="9">
        <v>75.250601023165771</v>
      </c>
      <c r="D1416" s="5">
        <f t="shared" si="25"/>
        <v>11</v>
      </c>
      <c r="Q1416" s="4">
        <v>68973</v>
      </c>
      <c r="R1416" s="12">
        <v>77.457663720496967</v>
      </c>
      <c r="S1416" s="12">
        <v>78.31448248012326</v>
      </c>
      <c r="T1416" s="16">
        <v>0.88179758541217101</v>
      </c>
      <c r="U1416" s="12">
        <v>78.555912201310321</v>
      </c>
    </row>
    <row r="1417" spans="1:21" x14ac:dyDescent="0.25">
      <c r="A1417" s="4">
        <v>69003</v>
      </c>
      <c r="B1417" s="10"/>
      <c r="C1417" s="9">
        <v>8.8133468626418825</v>
      </c>
      <c r="D1417" s="5">
        <f t="shared" si="25"/>
        <v>12</v>
      </c>
      <c r="Q1417" s="4">
        <v>69003</v>
      </c>
      <c r="R1417" s="12">
        <v>16.060930163323675</v>
      </c>
      <c r="S1417" s="12">
        <v>18.490571038216753</v>
      </c>
      <c r="T1417" s="16">
        <v>0.50886532450165245</v>
      </c>
      <c r="U1417" s="12">
        <v>19.61149673404314</v>
      </c>
    </row>
    <row r="1418" spans="1:21" x14ac:dyDescent="0.25">
      <c r="A1418" s="4">
        <v>69034</v>
      </c>
      <c r="B1418" s="10"/>
      <c r="C1418" s="9">
        <v>18.319547084175568</v>
      </c>
      <c r="D1418" s="5">
        <f t="shared" si="25"/>
        <v>1</v>
      </c>
      <c r="Q1418" s="4">
        <v>69034</v>
      </c>
      <c r="R1418" s="12">
        <v>31.383228072098298</v>
      </c>
      <c r="S1418" s="12">
        <v>21.283487060060217</v>
      </c>
      <c r="T1418" s="16">
        <v>0.68384684843429933</v>
      </c>
      <c r="U1418" s="12">
        <v>25.418651900125731</v>
      </c>
    </row>
    <row r="1419" spans="1:21" x14ac:dyDescent="0.25">
      <c r="A1419" s="4">
        <v>69065</v>
      </c>
      <c r="B1419" s="10"/>
      <c r="C1419" s="9">
        <v>23.454493421313312</v>
      </c>
      <c r="D1419" s="5">
        <f t="shared" si="25"/>
        <v>2</v>
      </c>
      <c r="Q1419" s="4">
        <v>69065</v>
      </c>
      <c r="R1419" s="12">
        <v>33.610479025919972</v>
      </c>
      <c r="S1419" s="12">
        <v>34.894575526311939</v>
      </c>
      <c r="T1419" s="16">
        <v>0.68525665519625056</v>
      </c>
      <c r="U1419" s="12">
        <v>34.115947112307325</v>
      </c>
    </row>
    <row r="1420" spans="1:21" x14ac:dyDescent="0.25">
      <c r="A1420" s="4">
        <v>69093</v>
      </c>
      <c r="B1420" s="10"/>
      <c r="C1420" s="9">
        <v>14.357911554359916</v>
      </c>
      <c r="D1420" s="5">
        <f t="shared" si="25"/>
        <v>3</v>
      </c>
      <c r="Q1420" s="4">
        <v>69093</v>
      </c>
      <c r="R1420" s="12">
        <v>16.240280923885905</v>
      </c>
      <c r="S1420" s="12">
        <v>11.617858546239958</v>
      </c>
      <c r="T1420" s="16">
        <v>0.40739225907014803</v>
      </c>
      <c r="U1420" s="12">
        <v>11.294438340410247</v>
      </c>
    </row>
    <row r="1421" spans="1:21" x14ac:dyDescent="0.25">
      <c r="A1421" s="4">
        <v>69124</v>
      </c>
      <c r="B1421" s="10"/>
      <c r="C1421" s="9">
        <v>43.079175080334494</v>
      </c>
      <c r="D1421" s="5">
        <f t="shared" si="25"/>
        <v>4</v>
      </c>
      <c r="Q1421" s="4">
        <v>69124</v>
      </c>
      <c r="R1421" s="12">
        <v>34.62186874718698</v>
      </c>
      <c r="S1421" s="12">
        <v>37.787569537895216</v>
      </c>
      <c r="T1421" s="16">
        <v>0.8416840819506699</v>
      </c>
      <c r="U1421" s="12">
        <v>38.702650659312006</v>
      </c>
    </row>
    <row r="1422" spans="1:21" x14ac:dyDescent="0.25">
      <c r="A1422" s="4">
        <v>69154</v>
      </c>
      <c r="B1422" s="10"/>
      <c r="C1422" s="9">
        <v>47.637083190431056</v>
      </c>
      <c r="D1422" s="5">
        <f t="shared" si="25"/>
        <v>5</v>
      </c>
      <c r="Q1422" s="4">
        <v>69154</v>
      </c>
      <c r="R1422" s="12">
        <v>21.095863704351476</v>
      </c>
      <c r="S1422" s="12">
        <v>21.184171208960556</v>
      </c>
      <c r="T1422" s="16">
        <v>0.76830874350470668</v>
      </c>
      <c r="U1422" s="12">
        <v>22.27051428105829</v>
      </c>
    </row>
    <row r="1423" spans="1:21" x14ac:dyDescent="0.25">
      <c r="A1423" s="4">
        <v>69185</v>
      </c>
      <c r="B1423" s="10"/>
      <c r="C1423" s="9">
        <v>15.33409351917954</v>
      </c>
      <c r="D1423" s="5">
        <f t="shared" si="25"/>
        <v>6</v>
      </c>
      <c r="Q1423" s="4">
        <v>69185</v>
      </c>
      <c r="R1423" s="12">
        <v>5.5227705253758881</v>
      </c>
      <c r="S1423" s="12">
        <v>2.1498017560904925</v>
      </c>
      <c r="T1423" s="16">
        <v>0.33704750936887934</v>
      </c>
      <c r="U1423" s="12">
        <v>1.9001221901728567</v>
      </c>
    </row>
    <row r="1424" spans="1:21" x14ac:dyDescent="0.25">
      <c r="A1424" s="4">
        <v>69215</v>
      </c>
      <c r="B1424" s="10"/>
      <c r="C1424" s="9">
        <v>16.263855929785091</v>
      </c>
      <c r="D1424" s="5">
        <f t="shared" si="25"/>
        <v>7</v>
      </c>
      <c r="Q1424" s="4">
        <v>69215</v>
      </c>
      <c r="R1424" s="12">
        <v>3.3055749399636372</v>
      </c>
      <c r="S1424" s="12">
        <v>0.78845303952915125</v>
      </c>
      <c r="T1424" s="16">
        <v>0.12881714069805414</v>
      </c>
      <c r="U1424" s="12">
        <v>0.78196896269638838</v>
      </c>
    </row>
    <row r="1425" spans="1:21" x14ac:dyDescent="0.25">
      <c r="A1425" s="4">
        <v>69246</v>
      </c>
      <c r="B1425" s="10"/>
      <c r="C1425" s="9">
        <v>14.106018542276985</v>
      </c>
      <c r="D1425" s="5">
        <f t="shared" si="25"/>
        <v>8</v>
      </c>
      <c r="Q1425" s="4">
        <v>69246</v>
      </c>
      <c r="R1425" s="12">
        <v>4.848598352169371</v>
      </c>
      <c r="S1425" s="12">
        <v>2.5774527749992395</v>
      </c>
      <c r="T1425" s="16">
        <v>0.36634138184154064</v>
      </c>
      <c r="U1425" s="12">
        <v>3.0963011202312898</v>
      </c>
    </row>
    <row r="1426" spans="1:21" x14ac:dyDescent="0.25">
      <c r="A1426" s="4">
        <v>69277</v>
      </c>
      <c r="B1426" s="10"/>
      <c r="C1426" s="9">
        <v>188.41333071479329</v>
      </c>
      <c r="D1426" s="5">
        <f t="shared" si="25"/>
        <v>9</v>
      </c>
      <c r="Q1426" s="4">
        <v>69277</v>
      </c>
      <c r="R1426" s="12">
        <v>76.004374681138472</v>
      </c>
      <c r="S1426" s="12">
        <v>146.5977961662536</v>
      </c>
      <c r="T1426" s="16">
        <v>0.99462245189026999</v>
      </c>
      <c r="U1426" s="12">
        <v>140.15945305366705</v>
      </c>
    </row>
    <row r="1427" spans="1:21" x14ac:dyDescent="0.25">
      <c r="A1427" s="4">
        <v>69307</v>
      </c>
      <c r="B1427" s="10"/>
      <c r="C1427" s="9">
        <v>40.974684183538443</v>
      </c>
      <c r="D1427" s="5">
        <f t="shared" si="25"/>
        <v>10</v>
      </c>
      <c r="Q1427" s="4">
        <v>69307</v>
      </c>
      <c r="R1427" s="12">
        <v>50.874307273335006</v>
      </c>
      <c r="S1427" s="12">
        <v>51.513213970286863</v>
      </c>
      <c r="T1427" s="16">
        <v>0.84516222695169763</v>
      </c>
      <c r="U1427" s="12">
        <v>51.72172667795413</v>
      </c>
    </row>
    <row r="1428" spans="1:21" x14ac:dyDescent="0.25">
      <c r="A1428" s="4">
        <v>69338</v>
      </c>
      <c r="B1428" s="10"/>
      <c r="C1428" s="9">
        <v>54.90947734358339</v>
      </c>
      <c r="D1428" s="5">
        <f t="shared" si="25"/>
        <v>11</v>
      </c>
      <c r="Q1428" s="4">
        <v>69338</v>
      </c>
      <c r="R1428" s="12">
        <v>56.51994500134559</v>
      </c>
      <c r="S1428" s="12">
        <v>56.488520236328149</v>
      </c>
      <c r="T1428" s="16">
        <v>0.80102082489285276</v>
      </c>
      <c r="U1428" s="12">
        <v>56.702897879240311</v>
      </c>
    </row>
    <row r="1429" spans="1:21" x14ac:dyDescent="0.25">
      <c r="A1429" s="4">
        <v>69368</v>
      </c>
      <c r="B1429" s="10"/>
      <c r="C1429" s="9">
        <v>38.833900621488198</v>
      </c>
      <c r="D1429" s="5">
        <f t="shared" si="25"/>
        <v>12</v>
      </c>
      <c r="Q1429" s="4">
        <v>69368</v>
      </c>
      <c r="R1429" s="12">
        <v>70.768639379774896</v>
      </c>
      <c r="S1429" s="12">
        <v>63.955360710366243</v>
      </c>
      <c r="T1429" s="16">
        <v>0.9155795484259639</v>
      </c>
      <c r="U1429" s="12">
        <v>62.198876991779791</v>
      </c>
    </row>
    <row r="1430" spans="1:21" x14ac:dyDescent="0.25">
      <c r="A1430" s="4">
        <v>69399</v>
      </c>
      <c r="B1430" s="10"/>
      <c r="C1430" s="9">
        <v>12.573331837848272</v>
      </c>
      <c r="D1430" s="5">
        <f t="shared" si="25"/>
        <v>1</v>
      </c>
      <c r="Q1430" s="4">
        <v>69399</v>
      </c>
      <c r="R1430" s="12">
        <v>21.539382981482969</v>
      </c>
      <c r="S1430" s="12">
        <v>10.669325476838658</v>
      </c>
      <c r="T1430" s="16">
        <v>0.54028694523022802</v>
      </c>
      <c r="U1430" s="12">
        <v>12.759642297915219</v>
      </c>
    </row>
    <row r="1431" spans="1:21" x14ac:dyDescent="0.25">
      <c r="A1431" s="4">
        <v>69430</v>
      </c>
      <c r="B1431" s="10"/>
      <c r="C1431" s="9">
        <v>8.1284812702709726</v>
      </c>
      <c r="D1431" s="5">
        <f t="shared" si="25"/>
        <v>2</v>
      </c>
      <c r="Q1431" s="4">
        <v>69430</v>
      </c>
      <c r="R1431" s="12">
        <v>11.648179491217002</v>
      </c>
      <c r="S1431" s="12">
        <v>13.877052801811605</v>
      </c>
      <c r="T1431" s="16">
        <v>0.33108789827277824</v>
      </c>
      <c r="U1431" s="12">
        <v>13.440409499763389</v>
      </c>
    </row>
    <row r="1432" spans="1:21" x14ac:dyDescent="0.25">
      <c r="A1432" s="4">
        <v>69458</v>
      </c>
      <c r="B1432" s="10"/>
      <c r="C1432" s="9">
        <v>16.599550743503151</v>
      </c>
      <c r="D1432" s="5">
        <f t="shared" si="25"/>
        <v>3</v>
      </c>
      <c r="Q1432" s="4">
        <v>69458</v>
      </c>
      <c r="R1432" s="12">
        <v>18.77580637435598</v>
      </c>
      <c r="S1432" s="12">
        <v>14.333434012129898</v>
      </c>
      <c r="T1432" s="16">
        <v>0.47446773719841162</v>
      </c>
      <c r="U1432" s="12">
        <v>14.265727378779836</v>
      </c>
    </row>
    <row r="1433" spans="1:21" x14ac:dyDescent="0.25">
      <c r="A1433" s="4">
        <v>69489</v>
      </c>
      <c r="B1433" s="10"/>
      <c r="C1433" s="9">
        <v>46.660615208220314</v>
      </c>
      <c r="D1433" s="5">
        <f t="shared" si="25"/>
        <v>4</v>
      </c>
      <c r="Q1433" s="4">
        <v>69489</v>
      </c>
      <c r="R1433" s="12">
        <v>37.500200326246748</v>
      </c>
      <c r="S1433" s="12">
        <v>42.98311798419244</v>
      </c>
      <c r="T1433" s="16">
        <v>0.8710976551100198</v>
      </c>
      <c r="U1433" s="12">
        <v>43.218045129789857</v>
      </c>
    </row>
    <row r="1434" spans="1:21" x14ac:dyDescent="0.25">
      <c r="A1434" s="4">
        <v>69519</v>
      </c>
      <c r="B1434" s="10"/>
      <c r="C1434" s="9">
        <v>40.983586227204064</v>
      </c>
      <c r="D1434" s="5">
        <f t="shared" si="25"/>
        <v>5</v>
      </c>
      <c r="Q1434" s="4">
        <v>69519</v>
      </c>
      <c r="R1434" s="12">
        <v>18.149393104284432</v>
      </c>
      <c r="S1434" s="12">
        <v>16.594543225450824</v>
      </c>
      <c r="T1434" s="16">
        <v>0.68991201008891112</v>
      </c>
      <c r="U1434" s="12">
        <v>17.572246460218427</v>
      </c>
    </row>
    <row r="1435" spans="1:21" x14ac:dyDescent="0.25">
      <c r="A1435" s="4">
        <v>69550</v>
      </c>
      <c r="B1435" s="10"/>
      <c r="C1435" s="9">
        <v>62.966512150555374</v>
      </c>
      <c r="D1435" s="5">
        <f t="shared" si="25"/>
        <v>6</v>
      </c>
      <c r="Q1435" s="4">
        <v>69550</v>
      </c>
      <c r="R1435" s="12">
        <v>22.678197244320479</v>
      </c>
      <c r="S1435" s="12">
        <v>26.426865845566549</v>
      </c>
      <c r="T1435" s="16">
        <v>0.88441720823054226</v>
      </c>
      <c r="U1435" s="12">
        <v>27.985971982947397</v>
      </c>
    </row>
    <row r="1436" spans="1:21" x14ac:dyDescent="0.25">
      <c r="A1436" s="4">
        <v>69580</v>
      </c>
      <c r="B1436" s="10"/>
      <c r="C1436" s="9">
        <v>10.476703271192491</v>
      </c>
      <c r="D1436" s="5">
        <f t="shared" si="25"/>
        <v>7</v>
      </c>
      <c r="Q1436" s="4">
        <v>69580</v>
      </c>
      <c r="R1436" s="12">
        <v>2.1293552977966264</v>
      </c>
      <c r="S1436" s="12">
        <v>0.32149913141268455</v>
      </c>
      <c r="T1436" s="16">
        <v>5.5229253955122196E-2</v>
      </c>
      <c r="U1436" s="12">
        <v>0.25283247269665693</v>
      </c>
    </row>
    <row r="1437" spans="1:21" x14ac:dyDescent="0.25">
      <c r="A1437" s="4">
        <v>69611</v>
      </c>
      <c r="B1437" s="10"/>
      <c r="C1437" s="9">
        <v>49.527982258225244</v>
      </c>
      <c r="D1437" s="5">
        <f t="shared" si="25"/>
        <v>8</v>
      </c>
      <c r="Q1437" s="4">
        <v>69611</v>
      </c>
      <c r="R1437" s="12">
        <v>17.024030731547679</v>
      </c>
      <c r="S1437" s="12">
        <v>18.444759011652689</v>
      </c>
      <c r="T1437" s="16">
        <v>0.86063219552829351</v>
      </c>
      <c r="U1437" s="12">
        <v>18.953792710705617</v>
      </c>
    </row>
    <row r="1438" spans="1:21" x14ac:dyDescent="0.25">
      <c r="A1438" s="4">
        <v>69642</v>
      </c>
      <c r="B1438" s="10"/>
      <c r="C1438" s="9">
        <v>2.191799126832048</v>
      </c>
      <c r="D1438" s="5">
        <f t="shared" si="25"/>
        <v>9</v>
      </c>
      <c r="Q1438" s="4">
        <v>69642</v>
      </c>
      <c r="R1438" s="12">
        <v>0.88415358631763519</v>
      </c>
      <c r="S1438" s="12">
        <v>0.11608283387306657</v>
      </c>
      <c r="T1438" s="16">
        <v>7.2795380224792677E-2</v>
      </c>
      <c r="U1438" s="12">
        <v>9.2733594452143898E-3</v>
      </c>
    </row>
    <row r="1439" spans="1:21" x14ac:dyDescent="0.25">
      <c r="A1439" s="4">
        <v>69672</v>
      </c>
      <c r="B1439" s="10"/>
      <c r="C1439" s="9">
        <v>82.203714137999512</v>
      </c>
      <c r="D1439" s="5">
        <f t="shared" si="25"/>
        <v>10</v>
      </c>
      <c r="Q1439" s="4">
        <v>69672</v>
      </c>
      <c r="R1439" s="12">
        <v>102.06441112110193</v>
      </c>
      <c r="S1439" s="12">
        <v>107.34731549396888</v>
      </c>
      <c r="T1439" s="16">
        <v>0.98109006759503525</v>
      </c>
      <c r="U1439" s="12">
        <v>106.87004622765377</v>
      </c>
    </row>
    <row r="1440" spans="1:21" x14ac:dyDescent="0.25">
      <c r="A1440" s="4">
        <v>69703</v>
      </c>
      <c r="B1440" s="10"/>
      <c r="C1440" s="9">
        <v>65.82784140548091</v>
      </c>
      <c r="D1440" s="5">
        <f t="shared" si="25"/>
        <v>11</v>
      </c>
      <c r="Q1440" s="4">
        <v>69703</v>
      </c>
      <c r="R1440" s="12">
        <v>67.758539250234932</v>
      </c>
      <c r="S1440" s="12">
        <v>68.172776968779843</v>
      </c>
      <c r="T1440" s="16">
        <v>0.84975921671184618</v>
      </c>
      <c r="U1440" s="12">
        <v>68.414604887987522</v>
      </c>
    </row>
    <row r="1441" spans="1:21" x14ac:dyDescent="0.25">
      <c r="A1441" s="4">
        <v>69733</v>
      </c>
      <c r="B1441" s="10"/>
      <c r="C1441" s="9">
        <v>37.006405410469235</v>
      </c>
      <c r="D1441" s="5">
        <f t="shared" si="25"/>
        <v>12</v>
      </c>
      <c r="Q1441" s="4">
        <v>69733</v>
      </c>
      <c r="R1441" s="12">
        <v>67.438318513544331</v>
      </c>
      <c r="S1441" s="12">
        <v>61.427141187788294</v>
      </c>
      <c r="T1441" s="16">
        <v>0.90653421550554425</v>
      </c>
      <c r="U1441" s="12">
        <v>59.787720490420483</v>
      </c>
    </row>
    <row r="1442" spans="1:21" x14ac:dyDescent="0.25">
      <c r="A1442" s="4">
        <v>69764</v>
      </c>
      <c r="B1442" s="10"/>
      <c r="C1442" s="9">
        <v>17.961644124641495</v>
      </c>
      <c r="D1442" s="5">
        <f t="shared" si="25"/>
        <v>1</v>
      </c>
      <c r="Q1442" s="4">
        <v>69764</v>
      </c>
      <c r="R1442" s="12">
        <v>30.77010427841897</v>
      </c>
      <c r="S1442" s="12">
        <v>20.526835779213997</v>
      </c>
      <c r="T1442" s="16">
        <v>0.67634971638413399</v>
      </c>
      <c r="U1442" s="12">
        <v>24.549881866134712</v>
      </c>
    </row>
    <row r="1443" spans="1:21" x14ac:dyDescent="0.25">
      <c r="A1443" s="4">
        <v>69795</v>
      </c>
      <c r="B1443" s="10"/>
      <c r="C1443" s="9">
        <v>61.981872775231409</v>
      </c>
      <c r="D1443" s="5">
        <f t="shared" si="25"/>
        <v>2</v>
      </c>
      <c r="Q1443" s="4">
        <v>69795</v>
      </c>
      <c r="R1443" s="12">
        <v>88.820525665504064</v>
      </c>
      <c r="S1443" s="12">
        <v>81.282628637044752</v>
      </c>
      <c r="T1443" s="16">
        <v>0.95251800632205219</v>
      </c>
      <c r="U1443" s="12">
        <v>82.561876122441731</v>
      </c>
    </row>
    <row r="1444" spans="1:21" x14ac:dyDescent="0.25">
      <c r="A1444" s="4">
        <v>69823</v>
      </c>
      <c r="B1444" s="10"/>
      <c r="C1444" s="9">
        <v>64.437360525310993</v>
      </c>
      <c r="D1444" s="5">
        <f t="shared" si="25"/>
        <v>3</v>
      </c>
      <c r="Q1444" s="4">
        <v>69823</v>
      </c>
      <c r="R1444" s="12">
        <v>72.885310162465288</v>
      </c>
      <c r="S1444" s="12">
        <v>102.14456522718666</v>
      </c>
      <c r="T1444" s="16">
        <v>0.97779319101210493</v>
      </c>
      <c r="U1444" s="12">
        <v>99.90341486690285</v>
      </c>
    </row>
    <row r="1445" spans="1:21" x14ac:dyDescent="0.25">
      <c r="A1445" s="4">
        <v>69854</v>
      </c>
      <c r="B1445" s="10"/>
      <c r="C1445" s="9">
        <v>2.1449639095828066</v>
      </c>
      <c r="D1445" s="5">
        <f t="shared" si="25"/>
        <v>4</v>
      </c>
      <c r="Q1445" s="4">
        <v>69854</v>
      </c>
      <c r="R1445" s="12">
        <v>1.7238644613445637</v>
      </c>
      <c r="S1445" s="12">
        <v>0.29899425936156981</v>
      </c>
      <c r="T1445" s="16">
        <v>1.5959800557052428E-2</v>
      </c>
      <c r="U1445" s="12">
        <v>0.23474166214582443</v>
      </c>
    </row>
    <row r="1446" spans="1:21" x14ac:dyDescent="0.25">
      <c r="A1446" s="4">
        <v>69884</v>
      </c>
      <c r="B1446" s="10"/>
      <c r="C1446" s="9">
        <v>19.850015857459777</v>
      </c>
      <c r="D1446" s="5">
        <f t="shared" si="25"/>
        <v>5</v>
      </c>
      <c r="Q1446" s="4">
        <v>69884</v>
      </c>
      <c r="R1446" s="12">
        <v>8.7904884391054114</v>
      </c>
      <c r="S1446" s="12">
        <v>5.1160032050014532</v>
      </c>
      <c r="T1446" s="16">
        <v>0.30947948982938606</v>
      </c>
      <c r="U1446" s="12">
        <v>5.0604119183561727</v>
      </c>
    </row>
    <row r="1447" spans="1:21" x14ac:dyDescent="0.25">
      <c r="A1447" s="4">
        <v>69915</v>
      </c>
      <c r="B1447" s="10"/>
      <c r="C1447" s="9">
        <v>64.981940015915356</v>
      </c>
      <c r="D1447" s="5">
        <f t="shared" si="25"/>
        <v>6</v>
      </c>
      <c r="Q1447" s="4">
        <v>69915</v>
      </c>
      <c r="R1447" s="12">
        <v>23.404079449023957</v>
      </c>
      <c r="S1447" s="12">
        <v>27.947968188909023</v>
      </c>
      <c r="T1447" s="16">
        <v>0.89311127457664696</v>
      </c>
      <c r="U1447" s="12">
        <v>29.427241326698631</v>
      </c>
    </row>
    <row r="1448" spans="1:21" x14ac:dyDescent="0.25">
      <c r="A1448" s="4">
        <v>69945</v>
      </c>
      <c r="B1448" s="10"/>
      <c r="C1448" s="9">
        <v>68.093953714739143</v>
      </c>
      <c r="D1448" s="5">
        <f t="shared" si="25"/>
        <v>7</v>
      </c>
      <c r="Q1448" s="4">
        <v>69945</v>
      </c>
      <c r="R1448" s="12">
        <v>13.83987093431292</v>
      </c>
      <c r="S1448" s="12">
        <v>14.631390451367283</v>
      </c>
      <c r="T1448" s="16">
        <v>0.80740001059861344</v>
      </c>
      <c r="U1448" s="12">
        <v>15.633444390809517</v>
      </c>
    </row>
    <row r="1449" spans="1:21" x14ac:dyDescent="0.25">
      <c r="A1449" s="4">
        <v>69976</v>
      </c>
      <c r="B1449" s="10"/>
      <c r="C1449" s="9">
        <v>18.561669925740301</v>
      </c>
      <c r="D1449" s="5">
        <f t="shared" si="25"/>
        <v>8</v>
      </c>
      <c r="Q1449" s="4">
        <v>69976</v>
      </c>
      <c r="R1449" s="12">
        <v>6.3801193756922965</v>
      </c>
      <c r="S1449" s="12">
        <v>3.9626880071854234</v>
      </c>
      <c r="T1449" s="16">
        <v>0.46901999787057591</v>
      </c>
      <c r="U1449" s="12">
        <v>4.715243391431069</v>
      </c>
    </row>
    <row r="1450" spans="1:21" x14ac:dyDescent="0.25">
      <c r="A1450" s="4">
        <v>70007</v>
      </c>
      <c r="B1450" s="10"/>
      <c r="C1450" s="9">
        <v>26.511362190821185</v>
      </c>
      <c r="D1450" s="5">
        <f t="shared" si="25"/>
        <v>9</v>
      </c>
      <c r="Q1450" s="4">
        <v>70007</v>
      </c>
      <c r="R1450" s="12">
        <v>10.694463590310786</v>
      </c>
      <c r="S1450" s="12">
        <v>6.3182217514861252</v>
      </c>
      <c r="T1450" s="16">
        <v>0.54507709514237046</v>
      </c>
      <c r="U1450" s="12">
        <v>5.1010336390569373</v>
      </c>
    </row>
    <row r="1451" spans="1:21" x14ac:dyDescent="0.25">
      <c r="A1451" s="4">
        <v>70037</v>
      </c>
      <c r="B1451" s="10"/>
      <c r="C1451" s="9">
        <v>33.016419661210293</v>
      </c>
      <c r="D1451" s="5">
        <f t="shared" si="25"/>
        <v>10</v>
      </c>
      <c r="Q1451" s="4">
        <v>70037</v>
      </c>
      <c r="R1451" s="12">
        <v>40.993298969333004</v>
      </c>
      <c r="S1451" s="12">
        <v>41.021954217826703</v>
      </c>
      <c r="T1451" s="16">
        <v>0.77012092294645029</v>
      </c>
      <c r="U1451" s="12">
        <v>41.218378247187779</v>
      </c>
    </row>
    <row r="1452" spans="1:21" x14ac:dyDescent="0.25">
      <c r="A1452" s="4">
        <v>70068</v>
      </c>
      <c r="B1452" s="10"/>
      <c r="C1452" s="9">
        <v>44.897302294250203</v>
      </c>
      <c r="D1452" s="5">
        <f t="shared" si="25"/>
        <v>11</v>
      </c>
      <c r="Q1452" s="4">
        <v>70068</v>
      </c>
      <c r="R1452" s="12">
        <v>46.214117838008278</v>
      </c>
      <c r="S1452" s="12">
        <v>45.848685217562711</v>
      </c>
      <c r="T1452" s="16">
        <v>0.74157011856454302</v>
      </c>
      <c r="U1452" s="12">
        <v>46.011637429213465</v>
      </c>
    </row>
    <row r="1453" spans="1:21" x14ac:dyDescent="0.25">
      <c r="A1453" s="4">
        <v>70098</v>
      </c>
      <c r="B1453" s="10"/>
      <c r="C1453" s="9">
        <v>32.248295314853948</v>
      </c>
      <c r="D1453" s="5">
        <f t="shared" si="25"/>
        <v>12</v>
      </c>
      <c r="Q1453" s="4">
        <v>70098</v>
      </c>
      <c r="R1453" s="12">
        <v>58.767415717353352</v>
      </c>
      <c r="S1453" s="12">
        <v>54.745389856659557</v>
      </c>
      <c r="T1453" s="16">
        <v>0.87794385969804256</v>
      </c>
      <c r="U1453" s="12">
        <v>53.447426404588448</v>
      </c>
    </row>
    <row r="1454" spans="1:21" x14ac:dyDescent="0.25">
      <c r="A1454" s="4">
        <v>70129</v>
      </c>
      <c r="B1454" s="10"/>
      <c r="C1454" s="9">
        <v>5.3047247425827013</v>
      </c>
      <c r="D1454" s="5">
        <f t="shared" si="25"/>
        <v>1</v>
      </c>
      <c r="Q1454" s="4">
        <v>70129</v>
      </c>
      <c r="R1454" s="12">
        <v>9.0875274203684224</v>
      </c>
      <c r="S1454" s="12">
        <v>2.1903797219806633</v>
      </c>
      <c r="T1454" s="16">
        <v>0.26895676607666597</v>
      </c>
      <c r="U1454" s="12">
        <v>2.1575668438522566</v>
      </c>
    </row>
    <row r="1455" spans="1:21" x14ac:dyDescent="0.25">
      <c r="A1455" s="4">
        <v>70160</v>
      </c>
      <c r="B1455" s="10"/>
      <c r="C1455" s="9">
        <v>20.100065823848816</v>
      </c>
      <c r="D1455" s="5">
        <f t="shared" si="25"/>
        <v>2</v>
      </c>
      <c r="Q1455" s="4">
        <v>70160</v>
      </c>
      <c r="R1455" s="12">
        <v>28.803557111925606</v>
      </c>
      <c r="S1455" s="12">
        <v>30.509320994170782</v>
      </c>
      <c r="T1455" s="16">
        <v>0.62884554232017664</v>
      </c>
      <c r="U1455" s="12">
        <v>29.728307821863776</v>
      </c>
    </row>
    <row r="1456" spans="1:21" x14ac:dyDescent="0.25">
      <c r="A1456" s="4">
        <v>70189</v>
      </c>
      <c r="B1456" s="10"/>
      <c r="C1456" s="9">
        <v>13.689690307131166</v>
      </c>
      <c r="D1456" s="5">
        <f t="shared" si="25"/>
        <v>3</v>
      </c>
      <c r="Q1456" s="4">
        <v>70189</v>
      </c>
      <c r="R1456" s="12">
        <v>15.484453676084744</v>
      </c>
      <c r="S1456" s="12">
        <v>10.843219247701148</v>
      </c>
      <c r="T1456" s="16">
        <v>0.38647206771620252</v>
      </c>
      <c r="U1456" s="12">
        <v>10.448613897288086</v>
      </c>
    </row>
    <row r="1457" spans="1:21" x14ac:dyDescent="0.25">
      <c r="A1457" s="4">
        <v>70220</v>
      </c>
      <c r="B1457" s="10"/>
      <c r="C1457" s="9">
        <v>15.137990343795327</v>
      </c>
      <c r="D1457" s="5">
        <f t="shared" si="25"/>
        <v>4</v>
      </c>
      <c r="Q1457" s="4">
        <v>70220</v>
      </c>
      <c r="R1457" s="12">
        <v>12.166099137267794</v>
      </c>
      <c r="S1457" s="12">
        <v>6.9929165398159023</v>
      </c>
      <c r="T1457" s="16">
        <v>0.34041466481156624</v>
      </c>
      <c r="U1457" s="12">
        <v>8.0200276663829992</v>
      </c>
    </row>
    <row r="1458" spans="1:21" x14ac:dyDescent="0.25">
      <c r="A1458" s="4">
        <v>70250</v>
      </c>
      <c r="B1458" s="10"/>
      <c r="C1458" s="9">
        <v>118.88818799605676</v>
      </c>
      <c r="D1458" s="5">
        <f t="shared" si="25"/>
        <v>5</v>
      </c>
      <c r="Q1458" s="4">
        <v>70250</v>
      </c>
      <c r="R1458" s="12">
        <v>52.649088526182574</v>
      </c>
      <c r="S1458" s="12">
        <v>93.475975569232148</v>
      </c>
      <c r="T1458" s="16">
        <v>0.99373467287495632</v>
      </c>
      <c r="U1458" s="12">
        <v>82.142739491974098</v>
      </c>
    </row>
    <row r="1459" spans="1:21" x14ac:dyDescent="0.25">
      <c r="A1459" s="4">
        <v>70281</v>
      </c>
      <c r="B1459" s="10"/>
      <c r="C1459" s="9">
        <v>122.71213195976323</v>
      </c>
      <c r="D1459" s="5">
        <f t="shared" si="25"/>
        <v>6</v>
      </c>
      <c r="Q1459" s="4">
        <v>70281</v>
      </c>
      <c r="R1459" s="12">
        <v>44.196348786170581</v>
      </c>
      <c r="S1459" s="12">
        <v>86.450092989770866</v>
      </c>
      <c r="T1459" s="16">
        <v>0.98923375445587325</v>
      </c>
      <c r="U1459" s="12">
        <v>75.402380030760796</v>
      </c>
    </row>
    <row r="1460" spans="1:21" x14ac:dyDescent="0.25">
      <c r="A1460" s="4">
        <v>70311</v>
      </c>
      <c r="B1460" s="10"/>
      <c r="C1460" s="9">
        <v>125.66223182435691</v>
      </c>
      <c r="D1460" s="5">
        <f t="shared" si="25"/>
        <v>7</v>
      </c>
      <c r="Q1460" s="4">
        <v>70311</v>
      </c>
      <c r="R1460" s="12">
        <v>25.540433105889182</v>
      </c>
      <c r="S1460" s="12">
        <v>51.058002501659885</v>
      </c>
      <c r="T1460" s="16">
        <v>0.98084017055219097</v>
      </c>
      <c r="U1460" s="12">
        <v>41.569292358325335</v>
      </c>
    </row>
    <row r="1461" spans="1:21" x14ac:dyDescent="0.25">
      <c r="A1461" s="4">
        <v>70342</v>
      </c>
      <c r="B1461" s="10"/>
      <c r="C1461" s="9">
        <v>47.533128342589464</v>
      </c>
      <c r="D1461" s="5">
        <f t="shared" si="25"/>
        <v>8</v>
      </c>
      <c r="Q1461" s="4">
        <v>70342</v>
      </c>
      <c r="R1461" s="12">
        <v>16.338348561261167</v>
      </c>
      <c r="S1461" s="12">
        <v>17.294039214075582</v>
      </c>
      <c r="T1461" s="16">
        <v>0.8475917909801236</v>
      </c>
      <c r="U1461" s="12">
        <v>17.942861314593021</v>
      </c>
    </row>
    <row r="1462" spans="1:21" x14ac:dyDescent="0.25">
      <c r="A1462" s="4">
        <v>70373</v>
      </c>
      <c r="B1462" s="10"/>
      <c r="C1462" s="9">
        <v>45.860085590141452</v>
      </c>
      <c r="D1462" s="5">
        <f t="shared" si="25"/>
        <v>9</v>
      </c>
      <c r="Q1462" s="4">
        <v>70373</v>
      </c>
      <c r="R1462" s="12">
        <v>18.49957810776348</v>
      </c>
      <c r="S1462" s="12">
        <v>15.212285914771927</v>
      </c>
      <c r="T1462" s="16">
        <v>0.73547712632072071</v>
      </c>
      <c r="U1462" s="12">
        <v>15.164249961729185</v>
      </c>
    </row>
    <row r="1463" spans="1:21" x14ac:dyDescent="0.25">
      <c r="A1463" s="4">
        <v>70403</v>
      </c>
      <c r="B1463" s="10"/>
      <c r="C1463" s="9">
        <v>28.858256553679077</v>
      </c>
      <c r="D1463" s="5">
        <f t="shared" si="25"/>
        <v>10</v>
      </c>
      <c r="Q1463" s="4">
        <v>70403</v>
      </c>
      <c r="R1463" s="12">
        <v>35.830509509440688</v>
      </c>
      <c r="S1463" s="12">
        <v>35.593202376716832</v>
      </c>
      <c r="T1463" s="16">
        <v>0.71810093154631383</v>
      </c>
      <c r="U1463" s="12">
        <v>35.763354367579076</v>
      </c>
    </row>
    <row r="1464" spans="1:21" x14ac:dyDescent="0.25">
      <c r="A1464" s="4">
        <v>70434</v>
      </c>
      <c r="B1464" s="10"/>
      <c r="C1464" s="9">
        <v>8.8671496088395667</v>
      </c>
      <c r="D1464" s="5">
        <f t="shared" si="25"/>
        <v>11</v>
      </c>
      <c r="Q1464" s="4">
        <v>70434</v>
      </c>
      <c r="R1464" s="12">
        <v>9.1272186962253272</v>
      </c>
      <c r="S1464" s="12">
        <v>8.5321129222644263</v>
      </c>
      <c r="T1464" s="16">
        <v>0.29013710310102836</v>
      </c>
      <c r="U1464" s="12">
        <v>8.3910379613459121</v>
      </c>
    </row>
    <row r="1465" spans="1:21" x14ac:dyDescent="0.25">
      <c r="A1465" s="4">
        <v>70464</v>
      </c>
      <c r="B1465" s="10"/>
      <c r="C1465" s="9">
        <v>22.42364331102748</v>
      </c>
      <c r="D1465" s="5">
        <f t="shared" si="25"/>
        <v>12</v>
      </c>
      <c r="Q1465" s="4">
        <v>70464</v>
      </c>
      <c r="R1465" s="12">
        <v>40.863541948210099</v>
      </c>
      <c r="S1465" s="12">
        <v>40.393146537854918</v>
      </c>
      <c r="T1465" s="16">
        <v>0.78578605347400554</v>
      </c>
      <c r="U1465" s="12">
        <v>39.974248050078401</v>
      </c>
    </row>
    <row r="1466" spans="1:21" x14ac:dyDescent="0.25">
      <c r="A1466" s="4">
        <v>70495</v>
      </c>
      <c r="B1466" s="10"/>
      <c r="C1466" s="9">
        <v>8.5560523149490315</v>
      </c>
      <c r="D1466" s="5">
        <f t="shared" si="25"/>
        <v>1</v>
      </c>
      <c r="Q1466" s="4">
        <v>70495</v>
      </c>
      <c r="R1466" s="12">
        <v>14.657378807623184</v>
      </c>
      <c r="S1466" s="12">
        <v>5.2652585585235867</v>
      </c>
      <c r="T1466" s="16">
        <v>0.40476729012231338</v>
      </c>
      <c r="U1466" s="12">
        <v>5.9639304806826017</v>
      </c>
    </row>
    <row r="1467" spans="1:21" x14ac:dyDescent="0.25">
      <c r="A1467" s="4">
        <v>70526</v>
      </c>
      <c r="B1467" s="10"/>
      <c r="C1467" s="9">
        <v>12.006321171268374</v>
      </c>
      <c r="D1467" s="5">
        <f t="shared" si="25"/>
        <v>2</v>
      </c>
      <c r="Q1467" s="4">
        <v>70526</v>
      </c>
      <c r="R1467" s="12">
        <v>17.205155475183943</v>
      </c>
      <c r="S1467" s="12">
        <v>19.485084393525742</v>
      </c>
      <c r="T1467" s="16">
        <v>0.44736768429004214</v>
      </c>
      <c r="U1467" s="12">
        <v>18.869305330980389</v>
      </c>
    </row>
    <row r="1468" spans="1:21" x14ac:dyDescent="0.25">
      <c r="A1468" s="4">
        <v>70554</v>
      </c>
      <c r="B1468" s="10"/>
      <c r="C1468" s="9">
        <v>35.994065177350166</v>
      </c>
      <c r="D1468" s="5">
        <f t="shared" si="25"/>
        <v>3</v>
      </c>
      <c r="Q1468" s="4">
        <v>70554</v>
      </c>
      <c r="R1468" s="12">
        <v>40.713005360122899</v>
      </c>
      <c r="S1468" s="12">
        <v>43.957693644559924</v>
      </c>
      <c r="T1468" s="16">
        <v>0.84018033475501708</v>
      </c>
      <c r="U1468" s="12">
        <v>45.523476760555397</v>
      </c>
    </row>
    <row r="1469" spans="1:21" x14ac:dyDescent="0.25">
      <c r="A1469" s="4">
        <v>70585</v>
      </c>
      <c r="B1469" s="10"/>
      <c r="C1469" s="9">
        <v>72.25152746592893</v>
      </c>
      <c r="D1469" s="5">
        <f t="shared" si="25"/>
        <v>4</v>
      </c>
      <c r="Q1469" s="4">
        <v>70585</v>
      </c>
      <c r="R1469" s="12">
        <v>58.067103096667367</v>
      </c>
      <c r="S1469" s="12">
        <v>87.022039470301323</v>
      </c>
      <c r="T1469" s="16">
        <v>0.97240095297950968</v>
      </c>
      <c r="U1469" s="12">
        <v>77.364419955926593</v>
      </c>
    </row>
    <row r="1470" spans="1:21" x14ac:dyDescent="0.25">
      <c r="A1470" s="4">
        <v>70615</v>
      </c>
      <c r="B1470" s="10"/>
      <c r="C1470" s="9">
        <v>48.731359846373905</v>
      </c>
      <c r="D1470" s="5">
        <f t="shared" si="25"/>
        <v>5</v>
      </c>
      <c r="Q1470" s="4">
        <v>70615</v>
      </c>
      <c r="R1470" s="12">
        <v>21.580459100260622</v>
      </c>
      <c r="S1470" s="12">
        <v>21.979651536337752</v>
      </c>
      <c r="T1470" s="16">
        <v>0.77942913970345773</v>
      </c>
      <c r="U1470" s="12">
        <v>23.067631621585399</v>
      </c>
    </row>
    <row r="1471" spans="1:21" x14ac:dyDescent="0.25">
      <c r="A1471" s="4">
        <v>70646</v>
      </c>
      <c r="B1471" s="10"/>
      <c r="C1471" s="9">
        <v>29.939740149128667</v>
      </c>
      <c r="D1471" s="5">
        <f t="shared" si="25"/>
        <v>6</v>
      </c>
      <c r="Q1471" s="4">
        <v>70646</v>
      </c>
      <c r="R1471" s="12">
        <v>10.783181557240697</v>
      </c>
      <c r="S1471" s="12">
        <v>7.0560335355679378</v>
      </c>
      <c r="T1471" s="16">
        <v>0.59964415519119019</v>
      </c>
      <c r="U1471" s="12">
        <v>7.598446540097834</v>
      </c>
    </row>
    <row r="1472" spans="1:21" x14ac:dyDescent="0.25">
      <c r="A1472" s="4">
        <v>70676</v>
      </c>
      <c r="B1472" s="10"/>
      <c r="C1472" s="9">
        <v>71.176742815916938</v>
      </c>
      <c r="D1472" s="5">
        <f t="shared" si="25"/>
        <v>7</v>
      </c>
      <c r="Q1472" s="4">
        <v>70676</v>
      </c>
      <c r="R1472" s="12">
        <v>14.466437625633889</v>
      </c>
      <c r="S1472" s="12">
        <v>16.014364305999234</v>
      </c>
      <c r="T1472" s="16">
        <v>0.82805661708342604</v>
      </c>
      <c r="U1472" s="12">
        <v>16.865709202517994</v>
      </c>
    </row>
    <row r="1473" spans="1:21" x14ac:dyDescent="0.25">
      <c r="A1473" s="4">
        <v>70707</v>
      </c>
      <c r="B1473" s="10"/>
      <c r="C1473" s="9">
        <v>17.208167894495791</v>
      </c>
      <c r="D1473" s="5">
        <f t="shared" si="25"/>
        <v>8</v>
      </c>
      <c r="Q1473" s="4">
        <v>70707</v>
      </c>
      <c r="R1473" s="12">
        <v>5.914886205986658</v>
      </c>
      <c r="S1473" s="12">
        <v>3.5193711210758383</v>
      </c>
      <c r="T1473" s="16">
        <v>0.43931534396794092</v>
      </c>
      <c r="U1473" s="12">
        <v>4.2044414832380212</v>
      </c>
    </row>
    <row r="1474" spans="1:21" x14ac:dyDescent="0.25">
      <c r="A1474" s="4">
        <v>70738</v>
      </c>
      <c r="B1474" s="10"/>
      <c r="C1474" s="9">
        <v>8.5868132591838364</v>
      </c>
      <c r="D1474" s="5">
        <f t="shared" si="25"/>
        <v>9</v>
      </c>
      <c r="Q1474" s="4">
        <v>70738</v>
      </c>
      <c r="R1474" s="12">
        <v>3.4638492392870504</v>
      </c>
      <c r="S1474" s="12">
        <v>1.0365713396787937</v>
      </c>
      <c r="T1474" s="16">
        <v>0.23746802258083666</v>
      </c>
      <c r="U1474" s="12">
        <v>0.36057097929105103</v>
      </c>
    </row>
    <row r="1475" spans="1:21" x14ac:dyDescent="0.25">
      <c r="A1475" s="4">
        <v>70768</v>
      </c>
      <c r="B1475" s="10"/>
      <c r="C1475" s="9">
        <v>17.707106598027625</v>
      </c>
      <c r="D1475" s="5">
        <f t="shared" ref="D1475:D1538" si="26">MONTH(A1475)</f>
        <v>10</v>
      </c>
      <c r="Q1475" s="4">
        <v>70768</v>
      </c>
      <c r="R1475" s="12">
        <v>21.985203789603968</v>
      </c>
      <c r="S1475" s="12">
        <v>21.265314522610385</v>
      </c>
      <c r="T1475" s="16">
        <v>0.51893126090654573</v>
      </c>
      <c r="U1475" s="12">
        <v>21.302319930177347</v>
      </c>
    </row>
    <row r="1476" spans="1:21" x14ac:dyDescent="0.25">
      <c r="A1476" s="4">
        <v>70799</v>
      </c>
      <c r="B1476" s="10"/>
      <c r="C1476" s="9">
        <v>87.801216448677323</v>
      </c>
      <c r="D1476" s="5">
        <f t="shared" si="26"/>
        <v>11</v>
      </c>
      <c r="Q1476" s="4">
        <v>70799</v>
      </c>
      <c r="R1476" s="12">
        <v>90.376382453590992</v>
      </c>
      <c r="S1476" s="12">
        <v>91.894477939274353</v>
      </c>
      <c r="T1476" s="16">
        <v>0.91386745109022249</v>
      </c>
      <c r="U1476" s="12">
        <v>92.101552672513208</v>
      </c>
    </row>
    <row r="1477" spans="1:21" x14ac:dyDescent="0.25">
      <c r="A1477" s="4">
        <v>70829</v>
      </c>
      <c r="B1477" s="10"/>
      <c r="C1477" s="9">
        <v>14.528849717974866</v>
      </c>
      <c r="D1477" s="5">
        <f t="shared" si="26"/>
        <v>12</v>
      </c>
      <c r="Q1477" s="4">
        <v>70829</v>
      </c>
      <c r="R1477" s="12">
        <v>26.476529780409816</v>
      </c>
      <c r="S1477" s="12">
        <v>28.093186537524122</v>
      </c>
      <c r="T1477" s="16">
        <v>0.65724536295079505</v>
      </c>
      <c r="U1477" s="12">
        <v>28.543139475347886</v>
      </c>
    </row>
    <row r="1478" spans="1:21" x14ac:dyDescent="0.25">
      <c r="A1478" s="4">
        <v>70860</v>
      </c>
      <c r="B1478" s="10"/>
      <c r="C1478" s="9">
        <v>1.2111741724675644</v>
      </c>
      <c r="D1478" s="5">
        <f t="shared" si="26"/>
        <v>1</v>
      </c>
      <c r="Q1478" s="4">
        <v>70860</v>
      </c>
      <c r="R1478" s="12">
        <v>2.0748632657200368</v>
      </c>
      <c r="S1478" s="12">
        <v>0.14576336349167007</v>
      </c>
      <c r="T1478" s="16">
        <v>6.2946665757424428E-2</v>
      </c>
      <c r="U1478" s="12">
        <v>6.5788940194518697E-2</v>
      </c>
    </row>
    <row r="1479" spans="1:21" x14ac:dyDescent="0.25">
      <c r="A1479" s="4">
        <v>70891</v>
      </c>
      <c r="B1479" s="10"/>
      <c r="C1479" s="9">
        <v>0.53377512977647357</v>
      </c>
      <c r="D1479" s="5">
        <f t="shared" si="26"/>
        <v>2</v>
      </c>
      <c r="Q1479" s="4">
        <v>70891</v>
      </c>
      <c r="R1479" s="12">
        <v>0.76490408390603892</v>
      </c>
      <c r="S1479" s="12">
        <v>1.2977925619420436</v>
      </c>
      <c r="T1479" s="16">
        <v>2.6388375942424602E-2</v>
      </c>
      <c r="U1479" s="12">
        <v>1.3615632504483353</v>
      </c>
    </row>
    <row r="1480" spans="1:21" x14ac:dyDescent="0.25">
      <c r="A1480" s="4">
        <v>70919</v>
      </c>
      <c r="B1480" s="10"/>
      <c r="C1480" s="9">
        <v>19.109005287371481</v>
      </c>
      <c r="D1480" s="5">
        <f t="shared" si="26"/>
        <v>3</v>
      </c>
      <c r="Q1480" s="4">
        <v>70919</v>
      </c>
      <c r="R1480" s="12">
        <v>21.614258652310586</v>
      </c>
      <c r="S1480" s="12">
        <v>17.574239922892062</v>
      </c>
      <c r="T1480" s="16">
        <v>0.54331148105937388</v>
      </c>
      <c r="U1480" s="12">
        <v>17.806928154119227</v>
      </c>
    </row>
    <row r="1481" spans="1:21" x14ac:dyDescent="0.25">
      <c r="A1481" s="4">
        <v>70950</v>
      </c>
      <c r="B1481" s="10"/>
      <c r="C1481" s="9">
        <v>71.434158407245775</v>
      </c>
      <c r="D1481" s="5">
        <f t="shared" si="26"/>
        <v>4</v>
      </c>
      <c r="Q1481" s="4">
        <v>70950</v>
      </c>
      <c r="R1481" s="12">
        <v>57.410199982460369</v>
      </c>
      <c r="S1481" s="12">
        <v>85.439466790858873</v>
      </c>
      <c r="T1481" s="16">
        <v>0.97096474457138382</v>
      </c>
      <c r="U1481" s="12">
        <v>76.234883936502641</v>
      </c>
    </row>
    <row r="1482" spans="1:21" x14ac:dyDescent="0.25">
      <c r="A1482" s="4">
        <v>70980</v>
      </c>
      <c r="B1482" s="10"/>
      <c r="C1482" s="9">
        <v>9.8989998427673846</v>
      </c>
      <c r="D1482" s="5">
        <f t="shared" si="26"/>
        <v>5</v>
      </c>
      <c r="Q1482" s="4">
        <v>70980</v>
      </c>
      <c r="R1482" s="12">
        <v>4.3837266580243739</v>
      </c>
      <c r="S1482" s="12">
        <v>1.6537757663123807</v>
      </c>
      <c r="T1482" s="16">
        <v>0.10265957067196924</v>
      </c>
      <c r="U1482" s="12">
        <v>1.3040044229483732</v>
      </c>
    </row>
    <row r="1483" spans="1:21" x14ac:dyDescent="0.25">
      <c r="A1483" s="4">
        <v>71011</v>
      </c>
      <c r="B1483" s="10"/>
      <c r="C1483" s="9">
        <v>47.496511496148457</v>
      </c>
      <c r="D1483" s="5">
        <f t="shared" si="26"/>
        <v>6</v>
      </c>
      <c r="Q1483" s="4">
        <v>71011</v>
      </c>
      <c r="R1483" s="12">
        <v>17.106478020432792</v>
      </c>
      <c r="S1483" s="12">
        <v>16.01573013231561</v>
      </c>
      <c r="T1483" s="16">
        <v>0.79090273807516875</v>
      </c>
      <c r="U1483" s="12">
        <v>17.548603859093575</v>
      </c>
    </row>
    <row r="1484" spans="1:21" x14ac:dyDescent="0.25">
      <c r="A1484" s="4">
        <v>71041</v>
      </c>
      <c r="B1484" s="10"/>
      <c r="C1484" s="9">
        <v>23.276547315550502</v>
      </c>
      <c r="D1484" s="5">
        <f t="shared" si="26"/>
        <v>7</v>
      </c>
      <c r="Q1484" s="4">
        <v>71041</v>
      </c>
      <c r="R1484" s="12">
        <v>4.7308812760848351</v>
      </c>
      <c r="S1484" s="12">
        <v>1.6381729251483073</v>
      </c>
      <c r="T1484" s="16">
        <v>0.23867220134910039</v>
      </c>
      <c r="U1484" s="12">
        <v>1.8338827587865223</v>
      </c>
    </row>
    <row r="1485" spans="1:21" x14ac:dyDescent="0.25">
      <c r="A1485" s="4">
        <v>71072</v>
      </c>
      <c r="B1485" s="10"/>
      <c r="C1485" s="9">
        <v>26.019990583184214</v>
      </c>
      <c r="D1485" s="5">
        <f t="shared" si="26"/>
        <v>8</v>
      </c>
      <c r="Q1485" s="4">
        <v>71072</v>
      </c>
      <c r="R1485" s="12">
        <v>8.9437344128660694</v>
      </c>
      <c r="S1485" s="12">
        <v>6.7273600346202374</v>
      </c>
      <c r="T1485" s="16">
        <v>0.61002033089255459</v>
      </c>
      <c r="U1485" s="12">
        <v>7.7638105760926068</v>
      </c>
    </row>
    <row r="1486" spans="1:21" x14ac:dyDescent="0.25">
      <c r="A1486" s="4">
        <v>71103</v>
      </c>
      <c r="B1486" s="10"/>
      <c r="C1486" s="9">
        <v>16.824432005874186</v>
      </c>
      <c r="D1486" s="5">
        <f t="shared" si="26"/>
        <v>9</v>
      </c>
      <c r="Q1486" s="4">
        <v>71103</v>
      </c>
      <c r="R1486" s="12">
        <v>6.7868363088780121</v>
      </c>
      <c r="S1486" s="12">
        <v>3.0475334760586588</v>
      </c>
      <c r="T1486" s="16">
        <v>0.40035524553027063</v>
      </c>
      <c r="U1486" s="12">
        <v>1.859566620381337</v>
      </c>
    </row>
    <row r="1487" spans="1:21" x14ac:dyDescent="0.25">
      <c r="A1487" s="4">
        <v>71133</v>
      </c>
      <c r="B1487" s="10"/>
      <c r="C1487" s="9">
        <v>14.998357725961435</v>
      </c>
      <c r="D1487" s="5">
        <f t="shared" si="26"/>
        <v>10</v>
      </c>
      <c r="Q1487" s="4">
        <v>71133</v>
      </c>
      <c r="R1487" s="12">
        <v>18.622011975201691</v>
      </c>
      <c r="S1487" s="12">
        <v>17.849832486588522</v>
      </c>
      <c r="T1487" s="16">
        <v>0.45444821440733579</v>
      </c>
      <c r="U1487" s="12">
        <v>17.843720193477804</v>
      </c>
    </row>
    <row r="1488" spans="1:21" x14ac:dyDescent="0.25">
      <c r="A1488" s="4">
        <v>71164</v>
      </c>
      <c r="B1488" s="10"/>
      <c r="C1488" s="9">
        <v>75.477285516648863</v>
      </c>
      <c r="D1488" s="5">
        <f t="shared" si="26"/>
        <v>11</v>
      </c>
      <c r="Q1488" s="4">
        <v>71164</v>
      </c>
      <c r="R1488" s="12">
        <v>77.690996757417949</v>
      </c>
      <c r="S1488" s="12">
        <v>78.559061865190301</v>
      </c>
      <c r="T1488" s="16">
        <v>0.8824746475533376</v>
      </c>
      <c r="U1488" s="12">
        <v>78.800210470000351</v>
      </c>
    </row>
    <row r="1489" spans="1:21" x14ac:dyDescent="0.25">
      <c r="A1489" s="4">
        <v>71194</v>
      </c>
      <c r="B1489" s="10"/>
      <c r="C1489" s="9">
        <v>26.679542677197414</v>
      </c>
      <c r="D1489" s="5">
        <f t="shared" si="26"/>
        <v>12</v>
      </c>
      <c r="Q1489" s="4">
        <v>71194</v>
      </c>
      <c r="R1489" s="12">
        <v>48.619245152395486</v>
      </c>
      <c r="S1489" s="12">
        <v>46.715302022987231</v>
      </c>
      <c r="T1489" s="16">
        <v>0.83249009261897255</v>
      </c>
      <c r="U1489" s="12">
        <v>45.886469117736844</v>
      </c>
    </row>
    <row r="1490" spans="1:21" x14ac:dyDescent="0.25">
      <c r="A1490" s="4">
        <v>71225</v>
      </c>
      <c r="B1490" s="10"/>
      <c r="C1490" s="9">
        <v>6.901352536224203</v>
      </c>
      <c r="D1490" s="5">
        <f t="shared" si="26"/>
        <v>1</v>
      </c>
      <c r="Q1490" s="4">
        <v>71225</v>
      </c>
      <c r="R1490" s="12">
        <v>11.822711536212916</v>
      </c>
      <c r="S1490" s="12">
        <v>3.5495354060037378</v>
      </c>
      <c r="T1490" s="16">
        <v>0.33878347943185755</v>
      </c>
      <c r="U1490" s="12">
        <v>3.8109347622267449</v>
      </c>
    </row>
    <row r="1491" spans="1:21" x14ac:dyDescent="0.25">
      <c r="A1491" s="4">
        <v>71256</v>
      </c>
      <c r="B1491" s="10"/>
      <c r="C1491" s="9">
        <v>47.180158223206085</v>
      </c>
      <c r="D1491" s="5">
        <f t="shared" si="26"/>
        <v>2</v>
      </c>
      <c r="Q1491" s="4">
        <v>71256</v>
      </c>
      <c r="R1491" s="12">
        <v>67.609548836372241</v>
      </c>
      <c r="S1491" s="12">
        <v>64.103174597992151</v>
      </c>
      <c r="T1491" s="16">
        <v>0.90182959054778777</v>
      </c>
      <c r="U1491" s="12">
        <v>64.225406030745205</v>
      </c>
    </row>
    <row r="1492" spans="1:21" x14ac:dyDescent="0.25">
      <c r="A1492" s="4">
        <v>71284</v>
      </c>
      <c r="B1492" s="10"/>
      <c r="C1492" s="9">
        <v>84.241219476047689</v>
      </c>
      <c r="D1492" s="5">
        <f t="shared" si="26"/>
        <v>3</v>
      </c>
      <c r="Q1492" s="4">
        <v>71284</v>
      </c>
      <c r="R1492" s="12">
        <v>95.285520075954651</v>
      </c>
      <c r="S1492" s="12">
        <v>150.56716431754009</v>
      </c>
      <c r="T1492" s="16">
        <v>0.99476640242446623</v>
      </c>
      <c r="U1492" s="12">
        <v>140.44119565926917</v>
      </c>
    </row>
    <row r="1493" spans="1:21" x14ac:dyDescent="0.25">
      <c r="A1493" s="4">
        <v>71315</v>
      </c>
      <c r="B1493" s="10"/>
      <c r="C1493" s="9">
        <v>36.789500313254194</v>
      </c>
      <c r="D1493" s="5">
        <f t="shared" si="26"/>
        <v>4</v>
      </c>
      <c r="Q1493" s="4">
        <v>71315</v>
      </c>
      <c r="R1493" s="12">
        <v>29.56698332186799</v>
      </c>
      <c r="S1493" s="12">
        <v>29.293963971759055</v>
      </c>
      <c r="T1493" s="16">
        <v>0.7748329193870902</v>
      </c>
      <c r="U1493" s="12">
        <v>30.99834223579078</v>
      </c>
    </row>
    <row r="1494" spans="1:21" x14ac:dyDescent="0.25">
      <c r="A1494" s="4">
        <v>71345</v>
      </c>
      <c r="B1494" s="10"/>
      <c r="C1494" s="9">
        <v>84.219442553526122</v>
      </c>
      <c r="D1494" s="5">
        <f t="shared" si="26"/>
        <v>5</v>
      </c>
      <c r="Q1494" s="4">
        <v>71345</v>
      </c>
      <c r="R1494" s="12">
        <v>37.296193687243452</v>
      </c>
      <c r="S1494" s="12">
        <v>53.416790025379498</v>
      </c>
      <c r="T1494" s="16">
        <v>0.96075590214856754</v>
      </c>
      <c r="U1494" s="12">
        <v>51.48421737150187</v>
      </c>
    </row>
    <row r="1495" spans="1:21" x14ac:dyDescent="0.25">
      <c r="A1495" s="4">
        <v>71376</v>
      </c>
      <c r="B1495" s="10"/>
      <c r="C1495" s="9">
        <v>139.26624257535511</v>
      </c>
      <c r="D1495" s="5">
        <f t="shared" si="26"/>
        <v>6</v>
      </c>
      <c r="Q1495" s="4">
        <v>71376</v>
      </c>
      <c r="R1495" s="12">
        <v>50.158524122277093</v>
      </c>
      <c r="S1495" s="12">
        <v>108.23945620132783</v>
      </c>
      <c r="T1495" s="16">
        <v>0.99449518544439552</v>
      </c>
      <c r="U1495" s="12">
        <v>89.639849384111542</v>
      </c>
    </row>
    <row r="1496" spans="1:21" x14ac:dyDescent="0.25">
      <c r="A1496" s="4">
        <v>71406</v>
      </c>
      <c r="B1496" s="10"/>
      <c r="C1496" s="9">
        <v>78.890353719801197</v>
      </c>
      <c r="D1496" s="5">
        <f t="shared" si="26"/>
        <v>7</v>
      </c>
      <c r="Q1496" s="4">
        <v>71406</v>
      </c>
      <c r="R1496" s="12">
        <v>16.034203536165229</v>
      </c>
      <c r="S1496" s="12">
        <v>19.754178404082644</v>
      </c>
      <c r="T1496" s="16">
        <v>0.87139370958512741</v>
      </c>
      <c r="U1496" s="12">
        <v>20.049934076304595</v>
      </c>
    </row>
    <row r="1497" spans="1:21" x14ac:dyDescent="0.25">
      <c r="A1497" s="4">
        <v>71437</v>
      </c>
      <c r="B1497" s="10"/>
      <c r="C1497" s="9">
        <v>41.242402598139464</v>
      </c>
      <c r="D1497" s="5">
        <f t="shared" si="26"/>
        <v>8</v>
      </c>
      <c r="Q1497" s="4">
        <v>71437</v>
      </c>
      <c r="R1497" s="12">
        <v>14.176065675620904</v>
      </c>
      <c r="S1497" s="12">
        <v>13.844927034406485</v>
      </c>
      <c r="T1497" s="16">
        <v>0.79834892346591146</v>
      </c>
      <c r="U1497" s="12">
        <v>14.81560880612227</v>
      </c>
    </row>
    <row r="1498" spans="1:21" x14ac:dyDescent="0.25">
      <c r="A1498" s="4">
        <v>71468</v>
      </c>
      <c r="B1498" s="10"/>
      <c r="C1498" s="9">
        <v>54.340449561432735</v>
      </c>
      <c r="D1498" s="5">
        <f t="shared" si="26"/>
        <v>9</v>
      </c>
      <c r="Q1498" s="4">
        <v>71468</v>
      </c>
      <c r="R1498" s="12">
        <v>21.920486587334473</v>
      </c>
      <c r="S1498" s="12">
        <v>19.968343507152706</v>
      </c>
      <c r="T1498" s="16">
        <v>0.79095066221509081</v>
      </c>
      <c r="U1498" s="12">
        <v>20.650669841522873</v>
      </c>
    </row>
    <row r="1499" spans="1:21" x14ac:dyDescent="0.25">
      <c r="A1499" s="4">
        <v>71498</v>
      </c>
      <c r="B1499" s="10"/>
      <c r="C1499" s="9">
        <v>6.407281303033554</v>
      </c>
      <c r="D1499" s="5">
        <f t="shared" si="26"/>
        <v>10</v>
      </c>
      <c r="Q1499" s="4">
        <v>71498</v>
      </c>
      <c r="R1499" s="12">
        <v>7.9553022626634426</v>
      </c>
      <c r="S1499" s="12">
        <v>7.279683812849691</v>
      </c>
      <c r="T1499" s="16">
        <v>0.20294102441006279</v>
      </c>
      <c r="U1499" s="12">
        <v>7.1449460618644203</v>
      </c>
    </row>
    <row r="1500" spans="1:21" x14ac:dyDescent="0.25">
      <c r="A1500" s="4">
        <v>71529</v>
      </c>
      <c r="B1500" s="10"/>
      <c r="C1500" s="9">
        <v>3.8811522665675846</v>
      </c>
      <c r="D1500" s="5">
        <f t="shared" si="26"/>
        <v>11</v>
      </c>
      <c r="Q1500" s="4">
        <v>71529</v>
      </c>
      <c r="R1500" s="12">
        <v>3.9949845320077864</v>
      </c>
      <c r="S1500" s="12">
        <v>3.623046955770751</v>
      </c>
      <c r="T1500" s="16">
        <v>0.16044209922289571</v>
      </c>
      <c r="U1500" s="12">
        <v>3.4918813203701609</v>
      </c>
    </row>
    <row r="1501" spans="1:21" x14ac:dyDescent="0.25">
      <c r="A1501" s="4">
        <v>71559</v>
      </c>
      <c r="B1501" s="10"/>
      <c r="C1501" s="9">
        <v>20.931530015266084</v>
      </c>
      <c r="D1501" s="5">
        <f t="shared" si="26"/>
        <v>12</v>
      </c>
      <c r="Q1501" s="4">
        <v>71559</v>
      </c>
      <c r="R1501" s="12">
        <v>38.144401556655509</v>
      </c>
      <c r="S1501" s="12">
        <v>38.131550453838805</v>
      </c>
      <c r="T1501" s="16">
        <v>0.76625383023691351</v>
      </c>
      <c r="U1501" s="12">
        <v>37.866720105572988</v>
      </c>
    </row>
    <row r="1502" spans="1:21" x14ac:dyDescent="0.25">
      <c r="A1502" s="4">
        <v>71590</v>
      </c>
      <c r="B1502" s="10"/>
      <c r="C1502" s="9">
        <v>6.6931311327498548</v>
      </c>
      <c r="D1502" s="5">
        <f t="shared" si="26"/>
        <v>1</v>
      </c>
      <c r="Q1502" s="4">
        <v>71590</v>
      </c>
      <c r="R1502" s="12">
        <v>11.466007313957745</v>
      </c>
      <c r="S1502" s="12">
        <v>3.3555308267840238</v>
      </c>
      <c r="T1502" s="16">
        <v>0.3300258926145882</v>
      </c>
      <c r="U1502" s="12">
        <v>3.570710038693869</v>
      </c>
    </row>
    <row r="1503" spans="1:21" x14ac:dyDescent="0.25">
      <c r="A1503" s="4">
        <v>71621</v>
      </c>
      <c r="B1503" s="10"/>
      <c r="C1503" s="9">
        <v>3.0610131980273949</v>
      </c>
      <c r="D1503" s="5">
        <f t="shared" si="26"/>
        <v>2</v>
      </c>
      <c r="Q1503" s="4">
        <v>71621</v>
      </c>
      <c r="R1503" s="12">
        <v>4.3864567032973749</v>
      </c>
      <c r="S1503" s="12">
        <v>5.9323292120936548</v>
      </c>
      <c r="T1503" s="16">
        <v>0.14105796739094417</v>
      </c>
      <c r="U1503" s="12">
        <v>5.8360388020081944</v>
      </c>
    </row>
    <row r="1504" spans="1:21" x14ac:dyDescent="0.25">
      <c r="A1504" s="4">
        <v>71650</v>
      </c>
      <c r="B1504" s="10"/>
      <c r="C1504" s="9">
        <v>65.501971279798141</v>
      </c>
      <c r="D1504" s="5">
        <f t="shared" si="26"/>
        <v>3</v>
      </c>
      <c r="Q1504" s="4">
        <v>71650</v>
      </c>
      <c r="R1504" s="12">
        <v>74.089494884038629</v>
      </c>
      <c r="S1504" s="12">
        <v>104.59702499177978</v>
      </c>
      <c r="T1504" s="16">
        <v>0.97943076168119392</v>
      </c>
      <c r="U1504" s="12">
        <v>102.04158289085328</v>
      </c>
    </row>
    <row r="1505" spans="1:21" x14ac:dyDescent="0.25">
      <c r="A1505" s="4">
        <v>71681</v>
      </c>
      <c r="B1505" s="10"/>
      <c r="C1505" s="9">
        <v>9.6868150682566867</v>
      </c>
      <c r="D1505" s="5">
        <f t="shared" si="26"/>
        <v>4</v>
      </c>
      <c r="Q1505" s="4">
        <v>71681</v>
      </c>
      <c r="R1505" s="12">
        <v>7.7850989311202952</v>
      </c>
      <c r="S1505" s="12">
        <v>3.4032159241110054</v>
      </c>
      <c r="T1505" s="16">
        <v>0.18752326406387892</v>
      </c>
      <c r="U1505" s="12">
        <v>3.8002563456646503</v>
      </c>
    </row>
    <row r="1506" spans="1:21" x14ac:dyDescent="0.25">
      <c r="A1506" s="4">
        <v>71711</v>
      </c>
      <c r="B1506" s="10"/>
      <c r="C1506" s="9">
        <v>9.4134731539515624</v>
      </c>
      <c r="D1506" s="5">
        <f t="shared" si="26"/>
        <v>5</v>
      </c>
      <c r="Q1506" s="4">
        <v>71711</v>
      </c>
      <c r="R1506" s="12">
        <v>4.1687133917599715</v>
      </c>
      <c r="S1506" s="12">
        <v>1.5241425856246773</v>
      </c>
      <c r="T1506" s="16">
        <v>9.3969696448863174E-2</v>
      </c>
      <c r="U1506" s="12">
        <v>1.1756689099690842</v>
      </c>
    </row>
    <row r="1507" spans="1:21" x14ac:dyDescent="0.25">
      <c r="A1507" s="4">
        <v>71742</v>
      </c>
      <c r="B1507" s="10"/>
      <c r="C1507" s="9">
        <v>175.38697028561333</v>
      </c>
      <c r="D1507" s="5">
        <f t="shared" si="26"/>
        <v>6</v>
      </c>
      <c r="Q1507" s="4">
        <v>71742</v>
      </c>
      <c r="R1507" s="12">
        <v>63.167867654963196</v>
      </c>
      <c r="S1507" s="12">
        <v>163.0347919142944</v>
      </c>
      <c r="T1507" s="16">
        <v>0.99874049739680326</v>
      </c>
      <c r="U1507" s="12">
        <v>121.62356272417115</v>
      </c>
    </row>
    <row r="1508" spans="1:21" x14ac:dyDescent="0.25">
      <c r="A1508" s="4">
        <v>71772</v>
      </c>
      <c r="B1508" s="10"/>
      <c r="C1508" s="9">
        <v>9.7520089762012123</v>
      </c>
      <c r="D1508" s="5">
        <f t="shared" si="26"/>
        <v>7</v>
      </c>
      <c r="Q1508" s="4">
        <v>71772</v>
      </c>
      <c r="R1508" s="12">
        <v>1.9820635786003999</v>
      </c>
      <c r="S1508" s="12">
        <v>0.2777667593849879</v>
      </c>
      <c r="T1508" s="16">
        <v>4.7758502007455045E-2</v>
      </c>
      <c r="U1508" s="12">
        <v>0.20874587151343851</v>
      </c>
    </row>
    <row r="1509" spans="1:21" x14ac:dyDescent="0.25">
      <c r="A1509" s="4">
        <v>71803</v>
      </c>
      <c r="B1509" s="10"/>
      <c r="C1509" s="9">
        <v>114.56209218961642</v>
      </c>
      <c r="D1509" s="5">
        <f t="shared" si="26"/>
        <v>8</v>
      </c>
      <c r="Q1509" s="4">
        <v>71803</v>
      </c>
      <c r="R1509" s="12">
        <v>39.377913033849367</v>
      </c>
      <c r="S1509" s="12">
        <v>68.633774781791658</v>
      </c>
      <c r="T1509" s="16">
        <v>0.99314681037895292</v>
      </c>
      <c r="U1509" s="12">
        <v>54.717681637891381</v>
      </c>
    </row>
    <row r="1510" spans="1:21" x14ac:dyDescent="0.25">
      <c r="A1510" s="4">
        <v>71834</v>
      </c>
      <c r="B1510" s="10"/>
      <c r="C1510" s="9">
        <v>8.5761481779360813E-2</v>
      </c>
      <c r="D1510" s="5">
        <f t="shared" si="26"/>
        <v>9</v>
      </c>
      <c r="Q1510" s="4">
        <v>71834</v>
      </c>
      <c r="R1510" s="12">
        <v>3.4595470339808546E-2</v>
      </c>
      <c r="S1510" s="12">
        <v>6.4276514716205923E-4</v>
      </c>
      <c r="T1510" s="16">
        <v>3.7365255549810907E-3</v>
      </c>
      <c r="U1510" s="12">
        <v>9.5781620938209529E-7</v>
      </c>
    </row>
    <row r="1511" spans="1:21" x14ac:dyDescent="0.25">
      <c r="A1511" s="4">
        <v>71864</v>
      </c>
      <c r="B1511" s="10"/>
      <c r="C1511" s="9">
        <v>42.418557409142267</v>
      </c>
      <c r="D1511" s="5">
        <f t="shared" si="26"/>
        <v>10</v>
      </c>
      <c r="Q1511" s="4">
        <v>71864</v>
      </c>
      <c r="R1511" s="12">
        <v>52.667025182131511</v>
      </c>
      <c r="S1511" s="12">
        <v>53.429299363139627</v>
      </c>
      <c r="T1511" s="16">
        <v>0.85595417411788355</v>
      </c>
      <c r="U1511" s="12">
        <v>53.634639454658803</v>
      </c>
    </row>
    <row r="1512" spans="1:21" x14ac:dyDescent="0.25">
      <c r="A1512" s="4">
        <v>71895</v>
      </c>
      <c r="B1512" s="10"/>
      <c r="C1512" s="9">
        <v>8.1045250092731678</v>
      </c>
      <c r="D1512" s="5">
        <f t="shared" si="26"/>
        <v>11</v>
      </c>
      <c r="Q1512" s="4">
        <v>71895</v>
      </c>
      <c r="R1512" s="12">
        <v>8.3422266964935528</v>
      </c>
      <c r="S1512" s="12">
        <v>7.7726263637127584</v>
      </c>
      <c r="T1512" s="16">
        <v>0.27258788826660785</v>
      </c>
      <c r="U1512" s="12">
        <v>7.6292892543977544</v>
      </c>
    </row>
    <row r="1513" spans="1:21" x14ac:dyDescent="0.25">
      <c r="A1513" s="4">
        <v>71925</v>
      </c>
      <c r="B1513" s="10"/>
      <c r="C1513" s="9">
        <v>2.3228531477205037</v>
      </c>
      <c r="D1513" s="5">
        <f t="shared" si="26"/>
        <v>12</v>
      </c>
      <c r="Q1513" s="4">
        <v>71925</v>
      </c>
      <c r="R1513" s="12">
        <v>4.2330323277452866</v>
      </c>
      <c r="S1513" s="12">
        <v>6.0585901416238599</v>
      </c>
      <c r="T1513" s="16">
        <v>0.22034898129673752</v>
      </c>
      <c r="U1513" s="12">
        <v>7.6086672703183975</v>
      </c>
    </row>
    <row r="1514" spans="1:21" x14ac:dyDescent="0.25">
      <c r="A1514" s="4">
        <v>71956</v>
      </c>
      <c r="B1514" s="10"/>
      <c r="C1514" s="9">
        <v>6.6465244590034267</v>
      </c>
      <c r="D1514" s="5">
        <f t="shared" si="26"/>
        <v>1</v>
      </c>
      <c r="Q1514" s="4">
        <v>71956</v>
      </c>
      <c r="R1514" s="12">
        <v>11.386165390729769</v>
      </c>
      <c r="S1514" s="12">
        <v>3.3127866058763176</v>
      </c>
      <c r="T1514" s="16">
        <v>0.32805147299023851</v>
      </c>
      <c r="U1514" s="12">
        <v>3.5179218313294167</v>
      </c>
    </row>
    <row r="1515" spans="1:21" x14ac:dyDescent="0.25">
      <c r="A1515" s="4">
        <v>71987</v>
      </c>
      <c r="B1515" s="10"/>
      <c r="C1515" s="9">
        <v>7.0868801678756226</v>
      </c>
      <c r="D1515" s="5">
        <f t="shared" si="26"/>
        <v>2</v>
      </c>
      <c r="Q1515" s="4">
        <v>71987</v>
      </c>
      <c r="R1515" s="12">
        <v>10.155556675768715</v>
      </c>
      <c r="S1515" s="12">
        <v>12.316169009954262</v>
      </c>
      <c r="T1515" s="16">
        <v>0.2958523340898459</v>
      </c>
      <c r="U1515" s="12">
        <v>11.940002910321873</v>
      </c>
    </row>
    <row r="1516" spans="1:21" x14ac:dyDescent="0.25">
      <c r="A1516" s="4">
        <v>72015</v>
      </c>
      <c r="B1516" s="10"/>
      <c r="C1516" s="9">
        <v>39.268599915935148</v>
      </c>
      <c r="D1516" s="5">
        <f t="shared" si="26"/>
        <v>3</v>
      </c>
      <c r="Q1516" s="4">
        <v>72015</v>
      </c>
      <c r="R1516" s="12">
        <v>44.416842359557194</v>
      </c>
      <c r="S1516" s="12">
        <v>49.863874743063356</v>
      </c>
      <c r="T1516" s="16">
        <v>0.87144806895463167</v>
      </c>
      <c r="U1516" s="12">
        <v>51.426082746555181</v>
      </c>
    </row>
    <row r="1517" spans="1:21" x14ac:dyDescent="0.25">
      <c r="A1517" s="4">
        <v>72046</v>
      </c>
      <c r="B1517" s="10"/>
      <c r="C1517" s="9">
        <v>14.751404432377205</v>
      </c>
      <c r="D1517" s="5">
        <f t="shared" si="26"/>
        <v>4</v>
      </c>
      <c r="Q1517" s="4">
        <v>72046</v>
      </c>
      <c r="R1517" s="12">
        <v>11.855407796041538</v>
      </c>
      <c r="S1517" s="12">
        <v>6.7071011977175985</v>
      </c>
      <c r="T1517" s="16">
        <v>0.32974511613153024</v>
      </c>
      <c r="U1517" s="12">
        <v>7.6895564926505404</v>
      </c>
    </row>
    <row r="1518" spans="1:21" x14ac:dyDescent="0.25">
      <c r="A1518" s="4">
        <v>72076</v>
      </c>
      <c r="B1518" s="10"/>
      <c r="C1518" s="9">
        <v>107.77301460702112</v>
      </c>
      <c r="D1518" s="5">
        <f t="shared" si="26"/>
        <v>5</v>
      </c>
      <c r="Q1518" s="4">
        <v>72076</v>
      </c>
      <c r="R1518" s="12">
        <v>47.72678499370199</v>
      </c>
      <c r="S1518" s="12">
        <v>79.70930189871423</v>
      </c>
      <c r="T1518" s="16">
        <v>0.98859702892929902</v>
      </c>
      <c r="U1518" s="12">
        <v>72.106405707888783</v>
      </c>
    </row>
    <row r="1519" spans="1:21" x14ac:dyDescent="0.25">
      <c r="A1519" s="4">
        <v>72107</v>
      </c>
      <c r="B1519" s="10"/>
      <c r="C1519" s="9">
        <v>102.42270481540417</v>
      </c>
      <c r="D1519" s="5">
        <f t="shared" si="26"/>
        <v>6</v>
      </c>
      <c r="Q1519" s="4">
        <v>72107</v>
      </c>
      <c r="R1519" s="12">
        <v>36.888851276163017</v>
      </c>
      <c r="S1519" s="12">
        <v>62.711163029853033</v>
      </c>
      <c r="T1519" s="16">
        <v>0.97565071396141922</v>
      </c>
      <c r="U1519" s="12">
        <v>58.455079907886194</v>
      </c>
    </row>
    <row r="1520" spans="1:21" x14ac:dyDescent="0.25">
      <c r="A1520" s="4">
        <v>72137</v>
      </c>
      <c r="B1520" s="10"/>
      <c r="C1520" s="9">
        <v>56.408290362983699</v>
      </c>
      <c r="D1520" s="5">
        <f t="shared" si="26"/>
        <v>7</v>
      </c>
      <c r="Q1520" s="4">
        <v>72137</v>
      </c>
      <c r="R1520" s="12">
        <v>11.464798497666914</v>
      </c>
      <c r="S1520" s="12">
        <v>9.9655572664164733</v>
      </c>
      <c r="T1520" s="16">
        <v>0.7086022176209732</v>
      </c>
      <c r="U1520" s="12">
        <v>11.207858860269983</v>
      </c>
    </row>
    <row r="1521" spans="1:21" x14ac:dyDescent="0.25">
      <c r="A1521" s="4">
        <v>72168</v>
      </c>
      <c r="B1521" s="10"/>
      <c r="C1521" s="9">
        <v>10.891919619726552</v>
      </c>
      <c r="D1521" s="5">
        <f t="shared" si="26"/>
        <v>8</v>
      </c>
      <c r="Q1521" s="4">
        <v>72168</v>
      </c>
      <c r="R1521" s="12">
        <v>3.7438305757141563</v>
      </c>
      <c r="S1521" s="12">
        <v>1.7187913112839446</v>
      </c>
      <c r="T1521" s="16">
        <v>0.28386805652248082</v>
      </c>
      <c r="U1521" s="12">
        <v>2.058471078049938</v>
      </c>
    </row>
    <row r="1522" spans="1:21" x14ac:dyDescent="0.25">
      <c r="A1522" s="4">
        <v>72199</v>
      </c>
      <c r="B1522" s="10"/>
      <c r="C1522" s="9">
        <v>75.566033160917627</v>
      </c>
      <c r="D1522" s="5">
        <f t="shared" si="26"/>
        <v>9</v>
      </c>
      <c r="Q1522" s="4">
        <v>72199</v>
      </c>
      <c r="R1522" s="12">
        <v>30.48271094057348</v>
      </c>
      <c r="S1522" s="12">
        <v>33.880193403365041</v>
      </c>
      <c r="T1522" s="16">
        <v>0.88359179857532921</v>
      </c>
      <c r="U1522" s="12">
        <v>36.287922208890102</v>
      </c>
    </row>
    <row r="1523" spans="1:21" x14ac:dyDescent="0.25">
      <c r="A1523" s="4">
        <v>72229</v>
      </c>
      <c r="B1523" s="10"/>
      <c r="C1523" s="9">
        <v>86.465511560154695</v>
      </c>
      <c r="D1523" s="5">
        <f t="shared" si="26"/>
        <v>10</v>
      </c>
      <c r="Q1523" s="4">
        <v>72229</v>
      </c>
      <c r="R1523" s="12">
        <v>107.35587329858311</v>
      </c>
      <c r="S1523" s="12">
        <v>113.22446300677937</v>
      </c>
      <c r="T1523" s="16">
        <v>0.98483214135315134</v>
      </c>
      <c r="U1523" s="12">
        <v>112.6124715060722</v>
      </c>
    </row>
    <row r="1524" spans="1:21" x14ac:dyDescent="0.25">
      <c r="A1524" s="4">
        <v>72260</v>
      </c>
      <c r="B1524" s="10"/>
      <c r="C1524" s="9">
        <v>14.694359829197216</v>
      </c>
      <c r="D1524" s="5">
        <f t="shared" si="26"/>
        <v>11</v>
      </c>
      <c r="Q1524" s="4">
        <v>72260</v>
      </c>
      <c r="R1524" s="12">
        <v>15.125338093811996</v>
      </c>
      <c r="S1524" s="12">
        <v>14.403503831619442</v>
      </c>
      <c r="T1524" s="16">
        <v>0.40611589111398844</v>
      </c>
      <c r="U1524" s="12">
        <v>14.300320525091784</v>
      </c>
    </row>
    <row r="1525" spans="1:21" x14ac:dyDescent="0.25">
      <c r="A1525" s="4">
        <v>72290</v>
      </c>
      <c r="B1525" s="10"/>
      <c r="C1525" s="9">
        <v>11.207483198279041</v>
      </c>
      <c r="D1525" s="5">
        <f t="shared" si="26"/>
        <v>12</v>
      </c>
      <c r="Q1525" s="4">
        <v>72290</v>
      </c>
      <c r="R1525" s="12">
        <v>20.423864822248209</v>
      </c>
      <c r="S1525" s="12">
        <v>22.608916865874434</v>
      </c>
      <c r="T1525" s="16">
        <v>0.57878654901929316</v>
      </c>
      <c r="U1525" s="12">
        <v>23.451537343527146</v>
      </c>
    </row>
    <row r="1526" spans="1:21" x14ac:dyDescent="0.25">
      <c r="A1526" s="4">
        <v>72321</v>
      </c>
      <c r="B1526" s="10"/>
      <c r="C1526" s="9">
        <v>9.6629681180545361</v>
      </c>
      <c r="D1526" s="5">
        <f t="shared" si="26"/>
        <v>1</v>
      </c>
      <c r="Q1526" s="4">
        <v>72321</v>
      </c>
      <c r="R1526" s="12">
        <v>16.55363699271102</v>
      </c>
      <c r="S1526" s="12">
        <v>6.5820205941708005</v>
      </c>
      <c r="T1526" s="16">
        <v>0.44545421116253159</v>
      </c>
      <c r="U1526" s="12">
        <v>7.6296316553727994</v>
      </c>
    </row>
    <row r="1527" spans="1:21" x14ac:dyDescent="0.25">
      <c r="A1527" s="4">
        <v>72352</v>
      </c>
      <c r="B1527" s="10"/>
      <c r="C1527" s="9">
        <v>2.5555303222281638</v>
      </c>
      <c r="D1527" s="5">
        <f t="shared" si="26"/>
        <v>2</v>
      </c>
      <c r="Q1527" s="4">
        <v>72352</v>
      </c>
      <c r="R1527" s="12">
        <v>3.6620956484739429</v>
      </c>
      <c r="S1527" s="12">
        <v>5.0701256839387208</v>
      </c>
      <c r="T1527" s="16">
        <v>0.11931011433064863</v>
      </c>
      <c r="U1527" s="12">
        <v>5.0121317345799525</v>
      </c>
    </row>
    <row r="1528" spans="1:21" x14ac:dyDescent="0.25">
      <c r="A1528" s="4">
        <v>72380</v>
      </c>
      <c r="B1528" s="10"/>
      <c r="C1528" s="9">
        <v>50.06595380927758</v>
      </c>
      <c r="D1528" s="5">
        <f t="shared" si="26"/>
        <v>3</v>
      </c>
      <c r="Q1528" s="4">
        <v>72380</v>
      </c>
      <c r="R1528" s="12">
        <v>56.62976481687982</v>
      </c>
      <c r="S1528" s="12">
        <v>70.881647059921235</v>
      </c>
      <c r="T1528" s="16">
        <v>0.93855663120072852</v>
      </c>
      <c r="U1528" s="12">
        <v>71.655014001932514</v>
      </c>
    </row>
    <row r="1529" spans="1:21" x14ac:dyDescent="0.25">
      <c r="A1529" s="4">
        <v>72411</v>
      </c>
      <c r="B1529" s="10"/>
      <c r="C1529" s="9">
        <v>9.8690109797647274</v>
      </c>
      <c r="D1529" s="5">
        <f t="shared" si="26"/>
        <v>4</v>
      </c>
      <c r="Q1529" s="4">
        <v>72411</v>
      </c>
      <c r="R1529" s="12">
        <v>7.9315261299406608</v>
      </c>
      <c r="S1529" s="12">
        <v>3.5070673554406908</v>
      </c>
      <c r="T1529" s="16">
        <v>0.19259230649187425</v>
      </c>
      <c r="U1529" s="12">
        <v>3.9239400514403813</v>
      </c>
    </row>
    <row r="1530" spans="1:21" x14ac:dyDescent="0.25">
      <c r="A1530" s="4">
        <v>72441</v>
      </c>
      <c r="B1530" s="10"/>
      <c r="C1530" s="9">
        <v>103.00580045145817</v>
      </c>
      <c r="D1530" s="5">
        <f t="shared" si="26"/>
        <v>5</v>
      </c>
      <c r="Q1530" s="4">
        <v>72441</v>
      </c>
      <c r="R1530" s="12">
        <v>45.615646079650837</v>
      </c>
      <c r="S1530" s="12">
        <v>74.065777628258331</v>
      </c>
      <c r="T1530" s="16">
        <v>0.98529820594590778</v>
      </c>
      <c r="U1530" s="12">
        <v>67.85543019176886</v>
      </c>
    </row>
    <row r="1531" spans="1:21" x14ac:dyDescent="0.25">
      <c r="A1531" s="4">
        <v>72472</v>
      </c>
      <c r="B1531" s="10"/>
      <c r="C1531" s="9">
        <v>47.617673854534573</v>
      </c>
      <c r="D1531" s="5">
        <f t="shared" si="26"/>
        <v>6</v>
      </c>
      <c r="Q1531" s="4">
        <v>72472</v>
      </c>
      <c r="R1531" s="12">
        <v>17.150116198382008</v>
      </c>
      <c r="S1531" s="12">
        <v>16.088372187409718</v>
      </c>
      <c r="T1531" s="16">
        <v>0.79185880513433715</v>
      </c>
      <c r="U1531" s="12">
        <v>17.625327455661338</v>
      </c>
    </row>
    <row r="1532" spans="1:21" x14ac:dyDescent="0.25">
      <c r="A1532" s="4">
        <v>72502</v>
      </c>
      <c r="B1532" s="10"/>
      <c r="C1532" s="9">
        <v>21.126772087708698</v>
      </c>
      <c r="D1532" s="5">
        <f t="shared" si="26"/>
        <v>7</v>
      </c>
      <c r="Q1532" s="4">
        <v>72502</v>
      </c>
      <c r="R1532" s="12">
        <v>4.2939465694329924</v>
      </c>
      <c r="S1532" s="12">
        <v>1.3443572205410286</v>
      </c>
      <c r="T1532" s="16">
        <v>0.20362162055941596</v>
      </c>
      <c r="U1532" s="12">
        <v>1.4660683741215188</v>
      </c>
    </row>
    <row r="1533" spans="1:21" x14ac:dyDescent="0.25">
      <c r="A1533" s="4">
        <v>72533</v>
      </c>
      <c r="B1533" s="10"/>
      <c r="C1533" s="9">
        <v>51.236622101221812</v>
      </c>
      <c r="D1533" s="5">
        <f t="shared" si="26"/>
        <v>8</v>
      </c>
      <c r="Q1533" s="4">
        <v>72533</v>
      </c>
      <c r="R1533" s="12">
        <v>17.611333825072947</v>
      </c>
      <c r="S1533" s="12">
        <v>19.451531735143316</v>
      </c>
      <c r="T1533" s="16">
        <v>0.87094002950613747</v>
      </c>
      <c r="U1533" s="12">
        <v>19.82627778836013</v>
      </c>
    </row>
    <row r="1534" spans="1:21" x14ac:dyDescent="0.25">
      <c r="A1534" s="4">
        <v>72564</v>
      </c>
      <c r="B1534" s="10"/>
      <c r="C1534" s="9">
        <v>11.147269979439768</v>
      </c>
      <c r="D1534" s="5">
        <f t="shared" si="26"/>
        <v>9</v>
      </c>
      <c r="Q1534" s="4">
        <v>72564</v>
      </c>
      <c r="R1534" s="12">
        <v>4.4967162406976424</v>
      </c>
      <c r="S1534" s="12">
        <v>1.575129361405762</v>
      </c>
      <c r="T1534" s="16">
        <v>0.29292983486135288</v>
      </c>
      <c r="U1534" s="12">
        <v>0.69384676245388377</v>
      </c>
    </row>
    <row r="1535" spans="1:21" x14ac:dyDescent="0.25">
      <c r="A1535" s="4">
        <v>72594</v>
      </c>
      <c r="B1535" s="10"/>
      <c r="C1535" s="9">
        <v>36.127776901728417</v>
      </c>
      <c r="D1535" s="5">
        <f t="shared" si="26"/>
        <v>10</v>
      </c>
      <c r="Q1535" s="4">
        <v>72594</v>
      </c>
      <c r="R1535" s="12">
        <v>44.856370703631491</v>
      </c>
      <c r="S1535" s="12">
        <v>45.108813166437237</v>
      </c>
      <c r="T1535" s="16">
        <v>0.80289819792823269</v>
      </c>
      <c r="U1535" s="12">
        <v>45.315949238551212</v>
      </c>
    </row>
    <row r="1536" spans="1:21" x14ac:dyDescent="0.25">
      <c r="A1536" s="4">
        <v>72625</v>
      </c>
      <c r="B1536" s="10"/>
      <c r="C1536" s="9">
        <v>93.98544253036664</v>
      </c>
      <c r="D1536" s="5">
        <f t="shared" si="26"/>
        <v>11</v>
      </c>
      <c r="Q1536" s="4">
        <v>72625</v>
      </c>
      <c r="R1536" s="12">
        <v>96.741988810137613</v>
      </c>
      <c r="S1536" s="12">
        <v>98.612856883603897</v>
      </c>
      <c r="T1536" s="16">
        <v>0.92623027686000414</v>
      </c>
      <c r="U1536" s="12">
        <v>98.789228268505653</v>
      </c>
    </row>
    <row r="1537" spans="1:21" x14ac:dyDescent="0.25">
      <c r="A1537" s="4">
        <v>72655</v>
      </c>
      <c r="B1537" s="10"/>
      <c r="C1537" s="9">
        <v>2.0040256939703442</v>
      </c>
      <c r="D1537" s="5">
        <f t="shared" si="26"/>
        <v>12</v>
      </c>
      <c r="Q1537" s="4">
        <v>72655</v>
      </c>
      <c r="R1537" s="12">
        <v>3.6520197398330647</v>
      </c>
      <c r="S1537" s="12">
        <v>5.3545176255145011</v>
      </c>
      <c r="T1537" s="16">
        <v>0.19930132399156758</v>
      </c>
      <c r="U1537" s="12">
        <v>6.8780068809061889</v>
      </c>
    </row>
    <row r="1538" spans="1:21" x14ac:dyDescent="0.25">
      <c r="A1538" s="4">
        <v>72686</v>
      </c>
      <c r="B1538" s="10"/>
      <c r="C1538" s="9">
        <v>29.12452606611938</v>
      </c>
      <c r="D1538" s="5">
        <f t="shared" si="26"/>
        <v>1</v>
      </c>
      <c r="Q1538" s="4">
        <v>72686</v>
      </c>
      <c r="R1538" s="12">
        <v>49.893244621442008</v>
      </c>
      <c r="S1538" s="12">
        <v>49.824863625039264</v>
      </c>
      <c r="T1538" s="16">
        <v>0.84493912497853718</v>
      </c>
      <c r="U1538" s="12">
        <v>55.201650720018357</v>
      </c>
    </row>
    <row r="1539" spans="1:21" x14ac:dyDescent="0.25">
      <c r="A1539" s="4">
        <v>72717</v>
      </c>
      <c r="B1539" s="10"/>
      <c r="C1539" s="9">
        <v>50.230825115541613</v>
      </c>
      <c r="D1539" s="5">
        <f t="shared" ref="D1539:D1561" si="27">MONTH(A1539)</f>
        <v>2</v>
      </c>
      <c r="Q1539" s="4">
        <v>72717</v>
      </c>
      <c r="R1539" s="12">
        <v>71.981179199820531</v>
      </c>
      <c r="S1539" s="12">
        <v>67.695111207864542</v>
      </c>
      <c r="T1539" s="16">
        <v>0.91548065808710877</v>
      </c>
      <c r="U1539" s="12">
        <v>68.024061048775536</v>
      </c>
    </row>
    <row r="1540" spans="1:21" x14ac:dyDescent="0.25">
      <c r="A1540" s="4">
        <v>72745</v>
      </c>
      <c r="B1540" s="10"/>
      <c r="C1540" s="9">
        <v>33.783397769149708</v>
      </c>
      <c r="D1540" s="5">
        <f t="shared" si="27"/>
        <v>3</v>
      </c>
      <c r="Q1540" s="4">
        <v>72745</v>
      </c>
      <c r="R1540" s="12">
        <v>38.212512192817364</v>
      </c>
      <c r="S1540" s="12">
        <v>40.103114493709498</v>
      </c>
      <c r="T1540" s="16">
        <v>0.81524649364641766</v>
      </c>
      <c r="U1540" s="12">
        <v>41.61394141420088</v>
      </c>
    </row>
    <row r="1541" spans="1:21" x14ac:dyDescent="0.25">
      <c r="A1541" s="4">
        <v>72776</v>
      </c>
      <c r="B1541" s="10"/>
      <c r="C1541" s="9">
        <v>25.074156285556164</v>
      </c>
      <c r="D1541" s="5">
        <f t="shared" si="27"/>
        <v>4</v>
      </c>
      <c r="Q1541" s="4">
        <v>72776</v>
      </c>
      <c r="R1541" s="12">
        <v>20.151596362885563</v>
      </c>
      <c r="S1541" s="12">
        <v>15.783120732815751</v>
      </c>
      <c r="T1541" s="16">
        <v>0.58297243428932366</v>
      </c>
      <c r="U1541" s="12">
        <v>17.675754082143374</v>
      </c>
    </row>
    <row r="1542" spans="1:21" x14ac:dyDescent="0.25">
      <c r="A1542" s="4">
        <v>72806</v>
      </c>
      <c r="B1542" s="10"/>
      <c r="C1542" s="9">
        <v>54.850113402233788</v>
      </c>
      <c r="D1542" s="5">
        <f t="shared" si="27"/>
        <v>5</v>
      </c>
      <c r="Q1542" s="4">
        <v>72806</v>
      </c>
      <c r="R1542" s="12">
        <v>24.290121036087637</v>
      </c>
      <c r="S1542" s="12">
        <v>26.631663951378886</v>
      </c>
      <c r="T1542" s="16">
        <v>0.83341152051770384</v>
      </c>
      <c r="U1542" s="12">
        <v>27.635277014131201</v>
      </c>
    </row>
    <row r="1543" spans="1:21" x14ac:dyDescent="0.25">
      <c r="A1543" s="4">
        <v>72837</v>
      </c>
      <c r="B1543" s="10"/>
      <c r="C1543" s="9">
        <v>5.2140099136539027</v>
      </c>
      <c r="D1543" s="5">
        <f t="shared" si="27"/>
        <v>6</v>
      </c>
      <c r="Q1543" s="4">
        <v>72837</v>
      </c>
      <c r="R1543" s="12">
        <v>1.8778925688778627</v>
      </c>
      <c r="S1543" s="12">
        <v>0.31640743017045247</v>
      </c>
      <c r="T1543" s="16">
        <v>0.1018877620340414</v>
      </c>
      <c r="U1543" s="12">
        <v>0.13991156422731396</v>
      </c>
    </row>
    <row r="1544" spans="1:21" x14ac:dyDescent="0.25">
      <c r="A1544" s="4">
        <v>72867</v>
      </c>
      <c r="B1544" s="10"/>
      <c r="C1544" s="9">
        <v>25.24372842900004</v>
      </c>
      <c r="D1544" s="5">
        <f t="shared" si="27"/>
        <v>7</v>
      </c>
      <c r="Q1544" s="4">
        <v>72867</v>
      </c>
      <c r="R1544" s="12">
        <v>5.1307043327487714</v>
      </c>
      <c r="S1544" s="12">
        <v>1.9329976714214092</v>
      </c>
      <c r="T1544" s="16">
        <v>0.27125098105063711</v>
      </c>
      <c r="U1544" s="12">
        <v>2.2033694785089639</v>
      </c>
    </row>
    <row r="1545" spans="1:21" x14ac:dyDescent="0.25">
      <c r="A1545" s="4">
        <v>72898</v>
      </c>
      <c r="B1545" s="10"/>
      <c r="C1545" s="9">
        <v>30.895174569773353</v>
      </c>
      <c r="D1545" s="5">
        <f t="shared" si="27"/>
        <v>8</v>
      </c>
      <c r="Q1545" s="4">
        <v>72898</v>
      </c>
      <c r="R1545" s="12">
        <v>10.619459492416617</v>
      </c>
      <c r="S1545" s="12">
        <v>8.8046618629666789</v>
      </c>
      <c r="T1545" s="16">
        <v>0.68318423005404671</v>
      </c>
      <c r="U1545" s="12">
        <v>9.9237902792855017</v>
      </c>
    </row>
    <row r="1546" spans="1:21" x14ac:dyDescent="0.25">
      <c r="A1546" s="4">
        <v>72929</v>
      </c>
      <c r="B1546" s="10"/>
      <c r="C1546" s="9">
        <v>32.507130855538982</v>
      </c>
      <c r="D1546" s="5">
        <f t="shared" si="27"/>
        <v>9</v>
      </c>
      <c r="Q1546" s="4">
        <v>72929</v>
      </c>
      <c r="R1546" s="12">
        <v>13.113106933463898</v>
      </c>
      <c r="S1546" s="12">
        <v>8.7612329980950694</v>
      </c>
      <c r="T1546" s="16">
        <v>0.61582574691825887</v>
      </c>
      <c r="U1546" s="12">
        <v>7.7784602628080632</v>
      </c>
    </row>
    <row r="1547" spans="1:21" x14ac:dyDescent="0.25">
      <c r="A1547" s="4">
        <v>72959</v>
      </c>
      <c r="B1547" s="10"/>
      <c r="C1547" s="9">
        <v>6.1059193864816965</v>
      </c>
      <c r="D1547" s="5">
        <f t="shared" si="27"/>
        <v>10</v>
      </c>
      <c r="Q1547" s="4">
        <v>72959</v>
      </c>
      <c r="R1547" s="12">
        <v>7.5811302818748807</v>
      </c>
      <c r="S1547" s="12">
        <v>6.9190793334086029</v>
      </c>
      <c r="T1547" s="16">
        <v>0.19296332278648934</v>
      </c>
      <c r="U1547" s="12">
        <v>6.7815871143572499</v>
      </c>
    </row>
    <row r="1548" spans="1:21" x14ac:dyDescent="0.25">
      <c r="A1548" s="4">
        <v>72990</v>
      </c>
      <c r="B1548" s="10"/>
      <c r="C1548" s="9">
        <v>15.132565990405945</v>
      </c>
      <c r="D1548" s="5">
        <f t="shared" si="27"/>
        <v>11</v>
      </c>
      <c r="Q1548" s="4">
        <v>72990</v>
      </c>
      <c r="R1548" s="12">
        <v>15.576396623759239</v>
      </c>
      <c r="S1548" s="12">
        <v>14.849029880072294</v>
      </c>
      <c r="T1548" s="16">
        <v>0.41377173795666816</v>
      </c>
      <c r="U1548" s="12">
        <v>14.749611969427093</v>
      </c>
    </row>
    <row r="1549" spans="1:21" x14ac:dyDescent="0.25">
      <c r="A1549" s="4">
        <v>73020</v>
      </c>
      <c r="B1549" s="10"/>
      <c r="C1549" s="9">
        <v>53.090408645010854</v>
      </c>
      <c r="D1549" s="5">
        <f t="shared" si="27"/>
        <v>12</v>
      </c>
      <c r="Q1549" s="4">
        <v>73020</v>
      </c>
      <c r="R1549" s="12">
        <v>96.748869513373009</v>
      </c>
      <c r="S1549" s="12">
        <v>83.082972675659832</v>
      </c>
      <c r="T1549" s="16">
        <v>0.96144366921866165</v>
      </c>
      <c r="U1549" s="12">
        <v>80.663003548173336</v>
      </c>
    </row>
    <row r="1550" spans="1:21" x14ac:dyDescent="0.25">
      <c r="A1550" s="4">
        <v>73051</v>
      </c>
      <c r="B1550" s="10"/>
      <c r="C1550" s="9">
        <v>2.381360752769643</v>
      </c>
      <c r="D1550" s="5">
        <f t="shared" si="27"/>
        <v>1</v>
      </c>
      <c r="Q1550" s="4">
        <v>73051</v>
      </c>
      <c r="R1550" s="12">
        <v>4.0795106605375269</v>
      </c>
      <c r="S1550" s="12">
        <v>0.50390236958824952</v>
      </c>
      <c r="T1550" s="16">
        <v>0.12526351429426802</v>
      </c>
      <c r="U1550" s="12">
        <v>0.34121644955163805</v>
      </c>
    </row>
    <row r="1551" spans="1:21" x14ac:dyDescent="0.25">
      <c r="A1551" s="4">
        <v>73082</v>
      </c>
      <c r="B1551" s="10"/>
      <c r="C1551" s="9">
        <v>3.7689425473966969</v>
      </c>
      <c r="D1551" s="5">
        <f t="shared" si="27"/>
        <v>2</v>
      </c>
      <c r="Q1551" s="4">
        <v>73082</v>
      </c>
      <c r="R1551" s="12">
        <v>5.4009251943195862</v>
      </c>
      <c r="S1551" s="12">
        <v>7.1096410096495033</v>
      </c>
      <c r="T1551" s="16">
        <v>0.17059336746042048</v>
      </c>
      <c r="U1551" s="12">
        <v>6.959940370104686</v>
      </c>
    </row>
    <row r="1552" spans="1:21" x14ac:dyDescent="0.25">
      <c r="A1552" s="4">
        <v>73110</v>
      </c>
      <c r="B1552" s="10"/>
      <c r="C1552" s="9">
        <v>16.174190082122902</v>
      </c>
      <c r="D1552" s="5">
        <f t="shared" si="27"/>
        <v>3</v>
      </c>
      <c r="Q1552" s="4">
        <v>73110</v>
      </c>
      <c r="R1552" s="12">
        <v>18.294679532988336</v>
      </c>
      <c r="S1552" s="12">
        <v>13.804703476543386</v>
      </c>
      <c r="T1552" s="16">
        <v>0.46212891730093403</v>
      </c>
      <c r="U1552" s="12">
        <v>13.687010710203534</v>
      </c>
    </row>
    <row r="1553" spans="1:21" x14ac:dyDescent="0.25">
      <c r="A1553" s="4">
        <v>73141</v>
      </c>
      <c r="B1553" s="10"/>
      <c r="C1553" s="9">
        <v>53.856397895067445</v>
      </c>
      <c r="D1553" s="5">
        <f t="shared" si="27"/>
        <v>4</v>
      </c>
      <c r="Q1553" s="4">
        <v>73141</v>
      </c>
      <c r="R1553" s="12">
        <v>43.283306508125094</v>
      </c>
      <c r="S1553" s="12">
        <v>54.172120090240597</v>
      </c>
      <c r="T1553" s="16">
        <v>0.91546578946369606</v>
      </c>
      <c r="U1553" s="12">
        <v>52.521859134783369</v>
      </c>
    </row>
    <row r="1554" spans="1:21" x14ac:dyDescent="0.25">
      <c r="A1554" s="4">
        <v>73171</v>
      </c>
      <c r="B1554" s="10"/>
      <c r="C1554" s="9">
        <v>58.832417639610597</v>
      </c>
      <c r="D1554" s="5">
        <f t="shared" si="27"/>
        <v>5</v>
      </c>
      <c r="Q1554" s="4">
        <v>73171</v>
      </c>
      <c r="R1554" s="12">
        <v>26.053666194491413</v>
      </c>
      <c r="S1554" s="12">
        <v>29.84038308718317</v>
      </c>
      <c r="T1554" s="16">
        <v>0.86186891382217357</v>
      </c>
      <c r="U1554" s="12">
        <v>30.698698773772627</v>
      </c>
    </row>
    <row r="1555" spans="1:21" x14ac:dyDescent="0.25">
      <c r="A1555" s="4">
        <v>73202</v>
      </c>
      <c r="B1555" s="10"/>
      <c r="C1555" s="9">
        <v>34.154555414543076</v>
      </c>
      <c r="D1555" s="5">
        <f t="shared" si="27"/>
        <v>6</v>
      </c>
      <c r="Q1555" s="4">
        <v>73202</v>
      </c>
      <c r="R1555" s="12">
        <v>12.301201353364943</v>
      </c>
      <c r="S1555" s="12">
        <v>8.9158671625451902</v>
      </c>
      <c r="T1555" s="16">
        <v>0.65638399166224792</v>
      </c>
      <c r="U1555" s="12">
        <v>9.7432243463240713</v>
      </c>
    </row>
    <row r="1556" spans="1:21" x14ac:dyDescent="0.25">
      <c r="A1556" s="4">
        <v>73232</v>
      </c>
      <c r="B1556" s="10"/>
      <c r="C1556" s="9">
        <v>5.8657444966013115</v>
      </c>
      <c r="D1556" s="5">
        <f t="shared" si="27"/>
        <v>7</v>
      </c>
      <c r="Q1556" s="4">
        <v>73232</v>
      </c>
      <c r="R1556" s="12">
        <v>1.1921931733719635</v>
      </c>
      <c r="S1556" s="12">
        <v>9.8481738426732954E-2</v>
      </c>
      <c r="T1556" s="16">
        <v>1.6319458763054573E-2</v>
      </c>
      <c r="U1556" s="12">
        <v>5.1071705109921255E-2</v>
      </c>
    </row>
    <row r="1557" spans="1:21" x14ac:dyDescent="0.25">
      <c r="A1557" s="4">
        <v>73263</v>
      </c>
      <c r="B1557" s="10"/>
      <c r="C1557" s="9">
        <v>24.216283095649164</v>
      </c>
      <c r="D1557" s="5">
        <f t="shared" si="27"/>
        <v>8</v>
      </c>
      <c r="Q1557" s="4">
        <v>73263</v>
      </c>
      <c r="R1557" s="12">
        <v>8.3237541451776984</v>
      </c>
      <c r="S1557" s="12">
        <v>6.0111372495276738</v>
      </c>
      <c r="T1557" s="16">
        <v>0.57931319210732746</v>
      </c>
      <c r="U1557" s="12">
        <v>6.994859341936122</v>
      </c>
    </row>
    <row r="1558" spans="1:21" x14ac:dyDescent="0.25">
      <c r="A1558" s="4">
        <v>73294</v>
      </c>
      <c r="B1558" s="10"/>
      <c r="C1558" s="9">
        <v>8.1680836368012137</v>
      </c>
      <c r="D1558" s="5">
        <f t="shared" si="27"/>
        <v>9</v>
      </c>
      <c r="Q1558" s="4">
        <v>73294</v>
      </c>
      <c r="R1558" s="12">
        <v>3.2949371830704157</v>
      </c>
      <c r="S1558" s="12">
        <v>0.9567263064185676</v>
      </c>
      <c r="T1558" s="16">
        <v>0.2279167892091403</v>
      </c>
      <c r="U1558" s="12">
        <v>0.31736486375220813</v>
      </c>
    </row>
    <row r="1559" spans="1:21" x14ac:dyDescent="0.25">
      <c r="A1559" s="4">
        <v>73324</v>
      </c>
      <c r="B1559" s="10"/>
      <c r="C1559" s="9">
        <v>24.639484640031021</v>
      </c>
      <c r="D1559" s="5">
        <f t="shared" si="27"/>
        <v>10</v>
      </c>
      <c r="Q1559" s="4">
        <v>73324</v>
      </c>
      <c r="R1559" s="12">
        <v>30.592467949689677</v>
      </c>
      <c r="S1559" s="12">
        <v>30.128942266265017</v>
      </c>
      <c r="T1559" s="16">
        <v>0.65406100891854491</v>
      </c>
      <c r="U1559" s="12">
        <v>30.258817684705026</v>
      </c>
    </row>
    <row r="1560" spans="1:21" x14ac:dyDescent="0.25">
      <c r="A1560" s="4">
        <v>73355</v>
      </c>
      <c r="B1560" s="10"/>
      <c r="C1560" s="9">
        <v>6.283093320434852</v>
      </c>
      <c r="D1560" s="5">
        <f t="shared" si="27"/>
        <v>11</v>
      </c>
      <c r="Q1560" s="4">
        <v>73355</v>
      </c>
      <c r="R1560" s="12">
        <v>6.4673733222266456</v>
      </c>
      <c r="S1560" s="12">
        <v>5.9697939298479108</v>
      </c>
      <c r="T1560" s="16">
        <v>0.22773307265079928</v>
      </c>
      <c r="U1560" s="12">
        <v>5.825461319978773</v>
      </c>
    </row>
    <row r="1561" spans="1:21" x14ac:dyDescent="0.25">
      <c r="A1561" s="4">
        <v>73385</v>
      </c>
      <c r="B1561" s="10"/>
      <c r="C1561" s="9">
        <v>41.224807014643723</v>
      </c>
      <c r="D1561" s="5">
        <f t="shared" si="27"/>
        <v>12</v>
      </c>
      <c r="Q1561" s="4">
        <v>73385</v>
      </c>
      <c r="R1561" s="12">
        <v>75.125687979585052</v>
      </c>
      <c r="S1561" s="12">
        <v>67.233954847894822</v>
      </c>
      <c r="T1561" s="16">
        <v>0.92606611234899194</v>
      </c>
      <c r="U1561" s="12">
        <v>65.335777612376674</v>
      </c>
    </row>
  </sheetData>
  <mergeCells count="4">
    <mergeCell ref="W1:AB6"/>
    <mergeCell ref="W7:AB7"/>
    <mergeCell ref="X10:Z14"/>
    <mergeCell ref="E16:G17"/>
  </mergeCells>
  <phoneticPr fontId="1" type="noConversion"/>
  <hyperlinks>
    <hyperlink ref="W7" r:id="rId1" xr:uid="{2A528195-EA31-47D5-AF2A-8EC788BD2F5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DeltaMean">
                <anchor moveWithCells="1" sizeWithCells="1">
                  <from>
                    <xdr:col>4</xdr:col>
                    <xdr:colOff>323850</xdr:colOff>
                    <xdr:row>4</xdr:row>
                    <xdr:rowOff>57150</xdr:rowOff>
                  </from>
                  <to>
                    <xdr:col>6</xdr:col>
                    <xdr:colOff>514350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MonthlyAverage">
                <anchor moveWithCells="1" sizeWithCells="1">
                  <from>
                    <xdr:col>4</xdr:col>
                    <xdr:colOff>390525</xdr:colOff>
                    <xdr:row>1</xdr:row>
                    <xdr:rowOff>95250</xdr:rowOff>
                  </from>
                  <to>
                    <xdr:col>6</xdr:col>
                    <xdr:colOff>438150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elta_MV">
                <anchor moveWithCells="1" sizeWithCells="1">
                  <from>
                    <xdr:col>4</xdr:col>
                    <xdr:colOff>333375</xdr:colOff>
                    <xdr:row>7</xdr:row>
                    <xdr:rowOff>95250</xdr:rowOff>
                  </from>
                  <to>
                    <xdr:col>6</xdr:col>
                    <xdr:colOff>514350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QuantileGamma">
                <anchor moveWithCells="1" sizeWithCells="1">
                  <from>
                    <xdr:col>4</xdr:col>
                    <xdr:colOff>361950</xdr:colOff>
                    <xdr:row>10</xdr:row>
                    <xdr:rowOff>66675</xdr:rowOff>
                  </from>
                  <to>
                    <xdr:col>6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Katerina</dc:creator>
  <cp:lastModifiedBy>Katerina</cp:lastModifiedBy>
  <dcterms:created xsi:type="dcterms:W3CDTF">2021-07-01T15:05:38Z</dcterms:created>
  <dcterms:modified xsi:type="dcterms:W3CDTF">2024-01-29T18:19:25Z</dcterms:modified>
</cp:coreProperties>
</file>